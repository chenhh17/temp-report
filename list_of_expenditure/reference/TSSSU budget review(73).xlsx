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h/projects/TSSSU25-26_reimb/list_of_expenditure/"/>
    </mc:Choice>
  </mc:AlternateContent>
  <xr:revisionPtr revIDLastSave="0" documentId="8_{AD46FA31-768E-F645-BE1A-5222AD8347C6}" xr6:coauthVersionLast="47" xr6:coauthVersionMax="47" xr10:uidLastSave="{00000000-0000-0000-0000-000000000000}"/>
  <bookViews>
    <workbookView xWindow="10040" yWindow="4060" windowWidth="35680" windowHeight="23380" xr2:uid="{8AE46C31-4FB2-469B-8435-1BB3D329EBF8}"/>
  </bookViews>
  <sheets>
    <sheet name="TSSSU" sheetId="1" r:id="rId1"/>
  </sheets>
  <definedNames>
    <definedName name="_xlnm._FilterDatabase" localSheetId="0" hidden="1">TSSSU!$A$1:$G$20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10" i="1"/>
  <c r="G26" i="1"/>
  <c r="F33" i="1" l="1"/>
  <c r="G33" i="1"/>
</calcChain>
</file>

<file path=xl/sharedStrings.xml><?xml version="1.0" encoding="utf-8"?>
<sst xmlns="http://schemas.openxmlformats.org/spreadsheetml/2006/main" count="59" uniqueCount="52">
  <si>
    <t>Period</t>
  </si>
  <si>
    <t>Categories</t>
  </si>
  <si>
    <t>Description</t>
  </si>
  <si>
    <t>Monthly salary</t>
  </si>
  <si>
    <t>MPF</t>
  </si>
  <si>
    <t>Original</t>
  </si>
  <si>
    <t>Revised</t>
  </si>
  <si>
    <t>1/4/2025- 31/3/2026</t>
  </si>
  <si>
    <t>Manpower</t>
  </si>
  <si>
    <t>CHAN, Laikiu (12 months)</t>
  </si>
  <si>
    <t>1/4/2025- 30/6/2025</t>
  </si>
  <si>
    <t>SUN, Xiaoyuan (Apr - Jun)</t>
  </si>
  <si>
    <t>1/9/2025-31/3/2026</t>
  </si>
  <si>
    <t>Equipment</t>
  </si>
  <si>
    <t>Multi-core cluster server</t>
  </si>
  <si>
    <t>Other Direct Costs - company running cost</t>
  </si>
  <si>
    <t>Company Running Cost</t>
  </si>
  <si>
    <t>Notion_2025_26 Annual Fee (USD445.67)</t>
  </si>
  <si>
    <t>Mobile phone data plan (12 months)</t>
  </si>
  <si>
    <t>WEBEYE CLOUD TECHNOL</t>
  </si>
  <si>
    <t>MDC GITHUB, INC. USD480.00</t>
  </si>
  <si>
    <t>MDC ANT*ALIBABA CLOU USD811.71</t>
  </si>
  <si>
    <t>Apple Developer Program</t>
  </si>
  <si>
    <t xml:space="preserve">Github </t>
  </si>
  <si>
    <t>ASIN + Taobo (iphone, tripod, camera)</t>
  </si>
  <si>
    <t>Perplexity</t>
  </si>
  <si>
    <t>ASIN (July &amp; Aug)</t>
  </si>
  <si>
    <t xml:space="preserve">Notion </t>
  </si>
  <si>
    <t>Other Direct Costs (b) - Legal, audit, accounting, registration, mandatory insurance for employees, patent application and company secretary fee</t>
  </si>
  <si>
    <t>Legal, audit, accounting, registration, mandatory insurance for employees, patent application and company secretary fee</t>
  </si>
  <si>
    <t>EC</t>
  </si>
  <si>
    <t>Accounting ($2000 x 4)</t>
  </si>
  <si>
    <t xml:space="preserve">Audit </t>
  </si>
  <si>
    <t>Other Direct Costs (c)</t>
  </si>
  <si>
    <t>Marketing and Promotion</t>
  </si>
  <si>
    <t>Marketing and Promotion (Linh - Apr - Aug)</t>
  </si>
  <si>
    <t>Kie.ai for TC development</t>
  </si>
  <si>
    <t>Total</t>
    <phoneticPr fontId="4" type="noConversion"/>
  </si>
  <si>
    <t>Laptop for Marketing</t>
    <phoneticPr fontId="4" type="noConversion"/>
  </si>
  <si>
    <t>Justification</t>
    <phoneticPr fontId="4" type="noConversion"/>
  </si>
  <si>
    <t>BIP Asia Exhibition</t>
    <phoneticPr fontId="4" type="noConversion"/>
  </si>
  <si>
    <t>Multi-purpose GPU server</t>
    <phoneticPr fontId="4" type="noConversion"/>
  </si>
  <si>
    <t>Manpower</t>
    <phoneticPr fontId="4" type="noConversion"/>
  </si>
  <si>
    <t>Part-time Al Research and Development Intern (Samuel Dec 25 - Mar 26)</t>
    <phoneticPr fontId="4" type="noConversion"/>
  </si>
  <si>
    <t>Alibabacloud Cloud Service (1 months)</t>
    <phoneticPr fontId="4" type="noConversion"/>
  </si>
  <si>
    <t>Claude Max (2 months)</t>
    <phoneticPr fontId="4" type="noConversion"/>
  </si>
  <si>
    <t>CHEN, Chun Hang (Sep 25 - Dec 31)</t>
    <phoneticPr fontId="4" type="noConversion"/>
  </si>
  <si>
    <t>Part-time Digital Graphic Designer (Peiqi Dec 25 - Feb 28)</t>
    <phoneticPr fontId="4" type="noConversion"/>
  </si>
  <si>
    <t>Note</t>
    <phoneticPr fontId="4" type="noConversion"/>
  </si>
  <si>
    <t>Need to calculate exact value</t>
    <phoneticPr fontId="4" type="noConversion"/>
  </si>
  <si>
    <t>407.29(Feb) + 406.10(Jan) + 405.31(Dec)</t>
    <phoneticPr fontId="4" type="noConversion"/>
  </si>
  <si>
    <t>Cursor (2 Month Pro+ / 1 Month Pro)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</si>
</sst>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.00_-;\-* #,##0.00_-;_-* &quot;-&quot;??_-;_-@_-"/>
  </numFmts>
  <fonts count="1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0"/>
      <color theme="1"/>
      <name val="Times New Roman"/>
      <family val="1"/>
    </font>
    <font>
      <sz val="10"/>
      <color rgb="FF000000"/>
      <name val="宋体"/>
      <family val="3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u/>
      <sz val="11"/>
      <color theme="10"/>
      <name val="等线"/>
      <family val="2"/>
      <scheme val="minor"/>
    </font>
    <font>
      <i/>
      <sz val="11"/>
      <color theme="1"/>
      <name val="等线"/>
      <family val="4"/>
      <charset val="134"/>
      <scheme val="minor"/>
    </font>
    <font>
      <b/>
      <i/>
      <sz val="11"/>
      <color rgb="FFFF0000"/>
      <name val="等线"/>
      <family val="4"/>
      <charset val="134"/>
      <scheme val="minor"/>
    </font>
    <font>
      <b/>
      <i/>
      <sz val="11"/>
      <color theme="1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/>
    <xf numFmtId="176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vertical="top"/>
    </xf>
    <xf numFmtId="14" fontId="0" fillId="0" borderId="0" xfId="0" applyNumberFormat="1" applyAlignment="1">
      <alignment horizontal="left"/>
    </xf>
    <xf numFmtId="17" fontId="0" fillId="0" borderId="0" xfId="0" applyNumberFormat="1"/>
    <xf numFmtId="176" fontId="0" fillId="0" borderId="0" xfId="1" applyFont="1" applyFill="1" applyBorder="1"/>
    <xf numFmtId="17" fontId="2" fillId="0" borderId="0" xfId="0" applyNumberFormat="1" applyFont="1"/>
    <xf numFmtId="0" fontId="0" fillId="3" borderId="0" xfId="0" applyFill="1"/>
    <xf numFmtId="176" fontId="2" fillId="0" borderId="0" xfId="1" applyFont="1" applyFill="1" applyBorder="1"/>
    <xf numFmtId="176" fontId="2" fillId="0" borderId="0" xfId="0" applyNumberFormat="1" applyFont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" fontId="0" fillId="0" borderId="1" xfId="0" applyNumberFormat="1" applyBorder="1" applyAlignment="1">
      <alignment horizontal="left" vertical="top"/>
    </xf>
    <xf numFmtId="4" fontId="0" fillId="4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/>
    <xf numFmtId="0" fontId="0" fillId="0" borderId="0" xfId="0" applyAlignment="1">
      <alignment vertical="center"/>
    </xf>
    <xf numFmtId="4" fontId="0" fillId="0" borderId="0" xfId="0" applyNumberForma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4" fontId="9" fillId="0" borderId="1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0" fontId="0" fillId="4" borderId="3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10" fillId="4" borderId="1" xfId="0" applyFont="1" applyFill="1" applyBorder="1" applyAlignment="1">
      <alignment vertical="center"/>
    </xf>
    <xf numFmtId="4" fontId="10" fillId="4" borderId="1" xfId="0" applyNumberFormat="1" applyFont="1" applyFill="1" applyBorder="1" applyAlignment="1">
      <alignment horizontal="right" vertical="center"/>
    </xf>
    <xf numFmtId="0" fontId="11" fillId="0" borderId="0" xfId="2"/>
    <xf numFmtId="0" fontId="13" fillId="0" borderId="1" xfId="0" applyFont="1" applyBorder="1" applyAlignment="1">
      <alignment horizontal="right" vertical="center"/>
    </xf>
    <xf numFmtId="0" fontId="14" fillId="4" borderId="1" xfId="0" applyFont="1" applyFill="1" applyBorder="1" applyAlignment="1">
      <alignment vertical="center"/>
    </xf>
    <xf numFmtId="4" fontId="14" fillId="4" borderId="1" xfId="0" applyNumberFormat="1" applyFont="1" applyFill="1" applyBorder="1" applyAlignment="1">
      <alignment vertical="center"/>
    </xf>
    <xf numFmtId="4" fontId="14" fillId="4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right" vertic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7BCE-700F-4633-81D5-858F41C7D03B}">
  <sheetPr>
    <pageSetUpPr fitToPage="1"/>
  </sheetPr>
  <dimension ref="A1:M79"/>
  <sheetViews>
    <sheetView tabSelected="1" zoomScale="134" zoomScaleNormal="134" workbookViewId="0">
      <selection activeCell="E19" sqref="E19"/>
    </sheetView>
  </sheetViews>
  <sheetFormatPr baseColWidth="10" defaultColWidth="8.83203125" defaultRowHeight="15"/>
  <cols>
    <col min="1" max="1" width="22" customWidth="1"/>
    <col min="2" max="2" width="22.6640625" customWidth="1"/>
    <col min="3" max="3" width="62.6640625" customWidth="1"/>
    <col min="4" max="4" width="18.1640625" bestFit="1" customWidth="1"/>
    <col min="5" max="5" width="10.6640625" bestFit="1" customWidth="1"/>
    <col min="6" max="6" width="13.5" bestFit="1" customWidth="1"/>
    <col min="7" max="7" width="15.83203125" customWidth="1"/>
    <col min="8" max="8" width="17.5" customWidth="1"/>
    <col min="9" max="9" width="10.6640625" customWidth="1"/>
    <col min="10" max="10" width="28" bestFit="1" customWidth="1"/>
    <col min="11" max="11" width="14.6640625" customWidth="1"/>
    <col min="12" max="15" width="11.1640625" bestFit="1" customWidth="1"/>
    <col min="16" max="16" width="12" bestFit="1" customWidth="1"/>
  </cols>
  <sheetData>
    <row r="1" spans="1:1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7" t="s">
        <v>39</v>
      </c>
      <c r="I1" s="27" t="s">
        <v>48</v>
      </c>
    </row>
    <row r="2" spans="1:13" ht="15" customHeight="1">
      <c r="A2" s="15" t="s">
        <v>7</v>
      </c>
      <c r="B2" s="13" t="s">
        <v>8</v>
      </c>
      <c r="C2" s="13" t="s">
        <v>9</v>
      </c>
      <c r="D2" s="14">
        <v>9600</v>
      </c>
      <c r="E2" s="13">
        <v>480</v>
      </c>
      <c r="F2" s="18">
        <v>120960</v>
      </c>
      <c r="G2" s="26">
        <v>120960</v>
      </c>
    </row>
    <row r="3" spans="1:13" ht="15" customHeight="1">
      <c r="A3" s="15" t="s">
        <v>10</v>
      </c>
      <c r="B3" s="13" t="s">
        <v>8</v>
      </c>
      <c r="C3" s="13" t="s">
        <v>11</v>
      </c>
      <c r="D3" s="14">
        <v>21730</v>
      </c>
      <c r="E3" s="14">
        <v>1086.5</v>
      </c>
      <c r="F3" s="18">
        <v>68449.5</v>
      </c>
      <c r="G3" s="26">
        <v>68449.5</v>
      </c>
    </row>
    <row r="4" spans="1:13" ht="15" customHeight="1">
      <c r="A4" s="15" t="s">
        <v>12</v>
      </c>
      <c r="B4" s="13" t="s">
        <v>8</v>
      </c>
      <c r="C4" s="13" t="s">
        <v>46</v>
      </c>
      <c r="D4" s="14">
        <v>18000</v>
      </c>
      <c r="E4" s="13">
        <v>900</v>
      </c>
      <c r="F4" s="18">
        <v>132300</v>
      </c>
      <c r="G4" s="25">
        <v>75600</v>
      </c>
      <c r="H4" s="33"/>
    </row>
    <row r="5" spans="1:13" ht="15" customHeight="1">
      <c r="A5" s="15"/>
      <c r="B5" s="13" t="s">
        <v>42</v>
      </c>
      <c r="C5" s="13" t="s">
        <v>43</v>
      </c>
      <c r="D5" s="14">
        <v>8512</v>
      </c>
      <c r="E5" s="13">
        <v>425.6</v>
      </c>
      <c r="F5" s="18"/>
      <c r="G5" s="25">
        <v>35750.400000000001</v>
      </c>
    </row>
    <row r="6" spans="1:13" ht="15" customHeight="1">
      <c r="A6" s="15"/>
      <c r="B6" s="13" t="s">
        <v>42</v>
      </c>
      <c r="C6" s="13" t="s">
        <v>47</v>
      </c>
      <c r="D6" s="14">
        <v>3000</v>
      </c>
      <c r="E6" s="13">
        <v>150</v>
      </c>
      <c r="F6" s="18"/>
      <c r="G6" s="25">
        <v>9450</v>
      </c>
      <c r="I6" s="28" t="s">
        <v>49</v>
      </c>
      <c r="J6" s="28"/>
      <c r="K6" s="28"/>
      <c r="L6" s="29"/>
      <c r="M6" s="30"/>
    </row>
    <row r="7" spans="1:13" ht="15" customHeight="1">
      <c r="A7" s="15"/>
      <c r="B7" s="13" t="s">
        <v>13</v>
      </c>
      <c r="C7" s="45" t="s">
        <v>41</v>
      </c>
      <c r="D7" s="46"/>
      <c r="E7" s="45"/>
      <c r="F7" s="47"/>
      <c r="G7" s="44">
        <v>52094</v>
      </c>
      <c r="H7" s="32"/>
    </row>
    <row r="8" spans="1:13" ht="15" customHeight="1">
      <c r="A8" s="16">
        <v>45777</v>
      </c>
      <c r="B8" s="13" t="s">
        <v>13</v>
      </c>
      <c r="C8" s="13" t="s">
        <v>38</v>
      </c>
      <c r="D8" s="13"/>
      <c r="E8" s="13"/>
      <c r="F8" s="18">
        <v>30000</v>
      </c>
      <c r="G8" s="24">
        <v>12999</v>
      </c>
    </row>
    <row r="9" spans="1:13" ht="15" customHeight="1">
      <c r="A9" s="15" t="s">
        <v>7</v>
      </c>
      <c r="B9" s="13" t="s">
        <v>13</v>
      </c>
      <c r="C9" s="13" t="s">
        <v>14</v>
      </c>
      <c r="D9" s="13"/>
      <c r="E9" s="13"/>
      <c r="F9" s="18">
        <v>20000</v>
      </c>
      <c r="G9" s="24">
        <v>18313.43</v>
      </c>
    </row>
    <row r="10" spans="1:13" ht="15" customHeight="1">
      <c r="A10" s="16">
        <v>45997</v>
      </c>
      <c r="B10" s="36" t="s">
        <v>15</v>
      </c>
      <c r="C10" s="13" t="s">
        <v>16</v>
      </c>
      <c r="D10" s="13"/>
      <c r="E10" s="13"/>
      <c r="F10" s="18">
        <v>38290.5</v>
      </c>
      <c r="G10" s="24">
        <f>SUM(G11:G25)</f>
        <v>42091.000000000007</v>
      </c>
    </row>
    <row r="11" spans="1:13" ht="15" customHeight="1">
      <c r="A11" s="16">
        <v>46009</v>
      </c>
      <c r="B11" s="37"/>
      <c r="C11" s="12" t="s">
        <v>17</v>
      </c>
      <c r="D11" s="12"/>
      <c r="E11" s="12"/>
      <c r="F11" s="19"/>
      <c r="G11" s="20">
        <v>3525.38</v>
      </c>
      <c r="H11" s="31"/>
    </row>
    <row r="12" spans="1:13" ht="15" customHeight="1">
      <c r="A12" s="16">
        <v>46014</v>
      </c>
      <c r="B12" s="37"/>
      <c r="C12" s="12" t="s">
        <v>18</v>
      </c>
      <c r="D12" s="12"/>
      <c r="E12" s="12"/>
      <c r="F12" s="19"/>
      <c r="G12" s="20">
        <v>2004</v>
      </c>
    </row>
    <row r="13" spans="1:13" ht="15" customHeight="1">
      <c r="A13" s="16">
        <v>45785</v>
      </c>
      <c r="B13" s="37"/>
      <c r="C13" s="12" t="s">
        <v>19</v>
      </c>
      <c r="D13" s="12"/>
      <c r="E13" s="12"/>
      <c r="F13" s="19"/>
      <c r="G13" s="20">
        <v>8966</v>
      </c>
    </row>
    <row r="14" spans="1:13" ht="15" customHeight="1">
      <c r="A14" s="16">
        <v>45809</v>
      </c>
      <c r="B14" s="37"/>
      <c r="C14" s="12" t="s">
        <v>20</v>
      </c>
      <c r="D14" s="12"/>
      <c r="E14" s="12"/>
      <c r="F14" s="19"/>
      <c r="G14" s="20">
        <v>3742.71</v>
      </c>
    </row>
    <row r="15" spans="1:13" ht="15" customHeight="1">
      <c r="A15" s="17">
        <v>46195</v>
      </c>
      <c r="B15" s="37"/>
      <c r="C15" s="12" t="s">
        <v>21</v>
      </c>
      <c r="D15" s="12"/>
      <c r="E15" s="12"/>
      <c r="F15" s="19"/>
      <c r="G15" s="20">
        <v>6326.96</v>
      </c>
    </row>
    <row r="16" spans="1:13" ht="15" customHeight="1">
      <c r="A16" s="17">
        <v>46227</v>
      </c>
      <c r="B16" s="37"/>
      <c r="C16" s="12" t="s">
        <v>22</v>
      </c>
      <c r="D16" s="12"/>
      <c r="E16" s="12"/>
      <c r="F16" s="19"/>
      <c r="G16" s="19">
        <v>788</v>
      </c>
    </row>
    <row r="17" spans="1:9" ht="15" customHeight="1">
      <c r="A17" s="16">
        <v>45915</v>
      </c>
      <c r="B17" s="37"/>
      <c r="C17" s="12" t="s">
        <v>23</v>
      </c>
      <c r="D17" s="12"/>
      <c r="E17" s="12"/>
      <c r="F17" s="19"/>
      <c r="G17" s="19">
        <v>391.47</v>
      </c>
    </row>
    <row r="18" spans="1:9" ht="15" customHeight="1">
      <c r="A18" s="16">
        <v>45915</v>
      </c>
      <c r="B18" s="37"/>
      <c r="C18" s="12" t="s">
        <v>24</v>
      </c>
      <c r="D18" s="12"/>
      <c r="E18" s="12"/>
      <c r="F18" s="19"/>
      <c r="G18" s="20">
        <v>3903.62</v>
      </c>
    </row>
    <row r="19" spans="1:9" ht="15" customHeight="1">
      <c r="A19" s="15"/>
      <c r="B19" s="37"/>
      <c r="C19" s="12" t="s">
        <v>25</v>
      </c>
      <c r="D19" s="12"/>
      <c r="E19" s="12"/>
      <c r="F19" s="19"/>
      <c r="G19" s="20">
        <v>1600.72</v>
      </c>
    </row>
    <row r="20" spans="1:9" ht="15" customHeight="1">
      <c r="A20" s="15"/>
      <c r="B20" s="37"/>
      <c r="C20" s="12" t="s">
        <v>26</v>
      </c>
      <c r="D20" s="12"/>
      <c r="E20" s="12"/>
      <c r="F20" s="19"/>
      <c r="G20" s="19">
        <v>640.29999999999995</v>
      </c>
    </row>
    <row r="21" spans="1:9" ht="15" customHeight="1">
      <c r="A21" s="15"/>
      <c r="B21" s="37"/>
      <c r="C21" s="12" t="s">
        <v>27</v>
      </c>
      <c r="D21" s="12"/>
      <c r="E21" s="12"/>
      <c r="F21" s="19"/>
      <c r="G21" s="19">
        <v>669.06</v>
      </c>
    </row>
    <row r="22" spans="1:9" ht="15" customHeight="1">
      <c r="A22" s="15"/>
      <c r="B22" s="37"/>
      <c r="C22" s="48" t="s">
        <v>51</v>
      </c>
      <c r="D22" s="49"/>
      <c r="E22" s="49"/>
      <c r="F22" s="50"/>
      <c r="G22" s="50">
        <v>1248.3699999999999</v>
      </c>
    </row>
    <row r="23" spans="1:9" ht="15" customHeight="1">
      <c r="A23" s="15"/>
      <c r="B23" s="37"/>
      <c r="C23" s="23" t="s">
        <v>45</v>
      </c>
      <c r="D23" s="12"/>
      <c r="E23" s="12"/>
      <c r="F23" s="19"/>
      <c r="G23" s="20">
        <v>3120.93</v>
      </c>
    </row>
    <row r="24" spans="1:9" ht="15" customHeight="1">
      <c r="A24" s="16">
        <v>45855</v>
      </c>
      <c r="B24" s="37"/>
      <c r="C24" s="48" t="s">
        <v>36</v>
      </c>
      <c r="D24" s="12"/>
      <c r="E24" s="12"/>
      <c r="F24" s="19"/>
      <c r="G24" s="20">
        <v>2000</v>
      </c>
      <c r="I24" t="s">
        <v>50</v>
      </c>
    </row>
    <row r="25" spans="1:9" ht="15" customHeight="1">
      <c r="A25" s="15" t="s">
        <v>7</v>
      </c>
      <c r="B25" s="38"/>
      <c r="C25" s="23" t="s">
        <v>44</v>
      </c>
      <c r="D25" s="12"/>
      <c r="E25" s="12"/>
      <c r="F25" s="19"/>
      <c r="G25" s="20">
        <v>3163.48</v>
      </c>
    </row>
    <row r="26" spans="1:9" ht="15" customHeight="1">
      <c r="A26" s="17">
        <v>46107</v>
      </c>
      <c r="B26" s="36" t="s">
        <v>28</v>
      </c>
      <c r="C26" s="13" t="s">
        <v>29</v>
      </c>
      <c r="D26" s="13"/>
      <c r="E26" s="13"/>
      <c r="F26" s="18">
        <v>40000</v>
      </c>
      <c r="G26" s="24">
        <f>SUM(G27:G29)</f>
        <v>25922.19</v>
      </c>
    </row>
    <row r="27" spans="1:9" ht="15" customHeight="1">
      <c r="A27" s="15"/>
      <c r="B27" s="37"/>
      <c r="C27" s="12" t="s">
        <v>30</v>
      </c>
      <c r="D27" s="12"/>
      <c r="E27" s="12"/>
      <c r="F27" s="19"/>
      <c r="G27" s="20">
        <v>6922.19</v>
      </c>
    </row>
    <row r="28" spans="1:9" ht="15" customHeight="1">
      <c r="A28" s="24"/>
      <c r="B28" s="37"/>
      <c r="C28" s="12" t="s">
        <v>31</v>
      </c>
      <c r="D28" s="12"/>
      <c r="E28" s="12"/>
      <c r="F28" s="19"/>
      <c r="G28" s="20">
        <v>8000</v>
      </c>
    </row>
    <row r="29" spans="1:9" ht="15" customHeight="1">
      <c r="A29" s="15"/>
      <c r="B29" s="38"/>
      <c r="C29" s="12" t="s">
        <v>32</v>
      </c>
      <c r="D29" s="12"/>
      <c r="E29" s="12"/>
      <c r="F29" s="19"/>
      <c r="G29" s="20">
        <v>11000</v>
      </c>
      <c r="H29" s="2"/>
    </row>
    <row r="30" spans="1:9" ht="15" customHeight="1">
      <c r="A30" s="15"/>
      <c r="B30" s="39" t="s">
        <v>33</v>
      </c>
      <c r="C30" s="41" t="s">
        <v>34</v>
      </c>
      <c r="D30" s="41"/>
      <c r="E30" s="41"/>
      <c r="F30" s="42">
        <v>50000</v>
      </c>
      <c r="G30" s="24">
        <f>SUM(G31:G32)</f>
        <v>36850</v>
      </c>
    </row>
    <row r="31" spans="1:9" ht="15" customHeight="1">
      <c r="A31" s="5"/>
      <c r="B31" s="40"/>
      <c r="C31" s="34" t="s">
        <v>40</v>
      </c>
      <c r="D31" s="24"/>
      <c r="E31" s="24"/>
      <c r="F31" s="35"/>
      <c r="G31" s="24">
        <v>10850</v>
      </c>
    </row>
    <row r="32" spans="1:9" ht="15" customHeight="1">
      <c r="A32" s="5"/>
      <c r="B32" s="40"/>
      <c r="C32" s="12" t="s">
        <v>35</v>
      </c>
      <c r="D32" s="12"/>
      <c r="E32" s="12"/>
      <c r="F32" s="19"/>
      <c r="G32" s="20">
        <v>26000</v>
      </c>
    </row>
    <row r="33" spans="1:8" ht="15" customHeight="1">
      <c r="A33" s="5"/>
      <c r="B33" s="6"/>
      <c r="E33" s="21" t="s">
        <v>37</v>
      </c>
      <c r="F33" s="22">
        <f>SUM(F2:F32)</f>
        <v>500000</v>
      </c>
      <c r="G33" s="22">
        <f>SUM(G2:G10)+G30+G26</f>
        <v>498479.52</v>
      </c>
    </row>
    <row r="34" spans="1:8" ht="15" customHeight="1">
      <c r="A34" s="5"/>
      <c r="B34" s="6"/>
      <c r="D34" s="7"/>
      <c r="F34" s="7"/>
    </row>
    <row r="35" spans="1:8" ht="15" customHeight="1">
      <c r="A35" s="5"/>
      <c r="B35" s="6"/>
      <c r="D35" s="7"/>
      <c r="F35" s="7"/>
    </row>
    <row r="36" spans="1:8">
      <c r="A36" s="5"/>
      <c r="B36" s="6"/>
      <c r="D36" s="7"/>
      <c r="F36" s="7"/>
    </row>
    <row r="37" spans="1:8">
      <c r="B37" s="6"/>
      <c r="D37" s="7"/>
      <c r="F37" s="7"/>
    </row>
    <row r="38" spans="1:8">
      <c r="A38" s="8"/>
      <c r="B38" s="6"/>
      <c r="D38" s="7"/>
      <c r="F38" s="7"/>
      <c r="G38" s="43"/>
    </row>
    <row r="39" spans="1:8">
      <c r="B39" s="6"/>
      <c r="D39" s="7"/>
      <c r="F39" s="7"/>
      <c r="G39" s="43"/>
    </row>
    <row r="40" spans="1:8">
      <c r="A40" s="5"/>
      <c r="B40" s="6"/>
      <c r="D40" s="7"/>
      <c r="F40" s="7"/>
      <c r="G40" s="43"/>
    </row>
    <row r="41" spans="1:8">
      <c r="A41" s="5"/>
      <c r="B41" s="3"/>
      <c r="C41" s="9"/>
      <c r="D41" s="10"/>
      <c r="E41" s="10"/>
      <c r="F41" s="11"/>
      <c r="G41" s="43"/>
    </row>
    <row r="42" spans="1:8">
      <c r="A42" s="5"/>
      <c r="B42" s="6"/>
      <c r="D42" s="7"/>
      <c r="F42" s="7"/>
      <c r="G42" s="43"/>
    </row>
    <row r="43" spans="1:8">
      <c r="A43" s="5"/>
      <c r="B43" s="6"/>
      <c r="G43" s="43"/>
      <c r="H43" s="3"/>
    </row>
    <row r="44" spans="1:8">
      <c r="B44" s="6"/>
      <c r="G44" s="43"/>
    </row>
    <row r="45" spans="1:8">
      <c r="B45" s="6"/>
      <c r="G45" s="43"/>
    </row>
    <row r="46" spans="1:8">
      <c r="B46" s="6"/>
      <c r="G46" s="43"/>
    </row>
    <row r="47" spans="1:8">
      <c r="B47" s="6"/>
      <c r="G47" s="43"/>
    </row>
    <row r="48" spans="1:8">
      <c r="G48" s="43"/>
    </row>
    <row r="49" spans="7:7">
      <c r="G49" s="43"/>
    </row>
    <row r="50" spans="7:7">
      <c r="G50" s="43"/>
    </row>
    <row r="51" spans="7:7">
      <c r="G51" s="43"/>
    </row>
    <row r="52" spans="7:7">
      <c r="G52" s="43"/>
    </row>
    <row r="53" spans="7:7">
      <c r="G53" s="43"/>
    </row>
    <row r="54" spans="7:7">
      <c r="G54" s="43"/>
    </row>
    <row r="55" spans="7:7">
      <c r="G55" s="43"/>
    </row>
    <row r="56" spans="7:7">
      <c r="G56" s="43"/>
    </row>
    <row r="57" spans="7:7">
      <c r="G57" s="43"/>
    </row>
    <row r="58" spans="7:7">
      <c r="G58" s="43"/>
    </row>
    <row r="59" spans="7:7">
      <c r="G59" s="43"/>
    </row>
    <row r="60" spans="7:7">
      <c r="G60" s="43"/>
    </row>
    <row r="61" spans="7:7">
      <c r="G61" s="43"/>
    </row>
    <row r="62" spans="7:7">
      <c r="G62" s="43"/>
    </row>
    <row r="63" spans="7:7">
      <c r="G63" s="43"/>
    </row>
    <row r="64" spans="7:7">
      <c r="G64" s="43"/>
    </row>
    <row r="65" spans="7:7">
      <c r="G65" s="43"/>
    </row>
    <row r="66" spans="7:7">
      <c r="G66" s="43"/>
    </row>
    <row r="67" spans="7:7">
      <c r="G67" s="43"/>
    </row>
    <row r="68" spans="7:7">
      <c r="G68" s="43"/>
    </row>
    <row r="69" spans="7:7">
      <c r="G69" s="43"/>
    </row>
    <row r="70" spans="7:7">
      <c r="G70" s="43"/>
    </row>
    <row r="71" spans="7:7">
      <c r="G71" s="43"/>
    </row>
    <row r="72" spans="7:7">
      <c r="G72" s="43"/>
    </row>
    <row r="73" spans="7:7">
      <c r="G73" s="43"/>
    </row>
    <row r="74" spans="7:7">
      <c r="G74" s="43"/>
    </row>
    <row r="75" spans="7:7">
      <c r="G75" s="43"/>
    </row>
    <row r="76" spans="7:7">
      <c r="G76" s="43"/>
    </row>
    <row r="77" spans="7:7">
      <c r="G77" s="43"/>
    </row>
    <row r="78" spans="7:7">
      <c r="G78" s="43"/>
    </row>
    <row r="79" spans="7:7">
      <c r="G79" s="43"/>
    </row>
  </sheetData>
  <autoFilter ref="A1:G20" xr:uid="{CDD96B0D-A69A-489C-BCD7-A817A4A2C07E}"/>
  <phoneticPr fontId="4" type="noConversion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TSSSU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Chan</dc:creator>
  <cp:lastModifiedBy>Chun Hang CHEN</cp:lastModifiedBy>
  <dcterms:created xsi:type="dcterms:W3CDTF">2026-01-06T14:52:40Z</dcterms:created>
  <dcterms:modified xsi:type="dcterms:W3CDTF">2026-05-04T07:34:38Z</dcterms:modified>
</cp:coreProperties>
</file>