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KTO_SHARED_DRIVE\21 TSSSU\Cashflow\"/>
    </mc:Choice>
  </mc:AlternateContent>
  <bookViews>
    <workbookView xWindow="7200" yWindow="3105" windowWidth="21600" windowHeight="11385"/>
  </bookViews>
  <sheets>
    <sheet name="A - Manpower " sheetId="1" r:id="rId1"/>
    <sheet name="B - Equipment " sheetId="4" r:id="rId2"/>
    <sheet name="C - Other Direct Costs " sheetId="5" r:id="rId3"/>
  </sheets>
  <definedNames>
    <definedName name="_xlnm._FilterDatabase" localSheetId="2" hidden="1">'C - Other Direct Costs '!$A$1:$AD$6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4" i="5" l="1"/>
  <c r="P8" i="1"/>
  <c r="P4" i="1"/>
  <c r="I15" i="1" l="1"/>
  <c r="I16" i="1"/>
  <c r="I17" i="1"/>
  <c r="I14" i="1"/>
  <c r="I5" i="1"/>
  <c r="I6" i="1"/>
  <c r="I7" i="1"/>
  <c r="I8" i="1"/>
  <c r="I9" i="1"/>
  <c r="I10" i="1"/>
  <c r="I11" i="1"/>
  <c r="I4" i="1"/>
  <c r="K5" i="1" l="1"/>
  <c r="K6" i="1"/>
  <c r="K7" i="1"/>
  <c r="K8" i="1"/>
  <c r="K9" i="1"/>
  <c r="K10" i="1"/>
  <c r="K11" i="1"/>
  <c r="K4" i="1"/>
  <c r="L5" i="5" l="1"/>
  <c r="R5" i="5"/>
  <c r="P14" i="1" l="1"/>
  <c r="P18" i="1" s="1"/>
  <c r="M5" i="5" l="1"/>
  <c r="L4" i="5"/>
  <c r="M4" i="5" s="1"/>
  <c r="S4" i="5" s="1"/>
  <c r="S5" i="5" l="1"/>
  <c r="M6" i="5" l="1"/>
  <c r="S6" i="5" s="1"/>
  <c r="AD6" i="5" s="1"/>
  <c r="AC6" i="5"/>
  <c r="AD4" i="5" l="1"/>
  <c r="AC4" i="5" l="1"/>
  <c r="M5" i="4"/>
  <c r="M6" i="4"/>
  <c r="M7" i="4"/>
  <c r="M8" i="4"/>
  <c r="M9" i="4"/>
  <c r="M10" i="4"/>
  <c r="M11" i="4"/>
  <c r="M12" i="4"/>
  <c r="M13" i="4"/>
  <c r="M14" i="4"/>
  <c r="M15" i="4"/>
  <c r="AD5" i="4"/>
  <c r="AD6" i="4"/>
  <c r="AD7" i="4"/>
  <c r="AD8" i="4"/>
  <c r="AD9" i="4"/>
  <c r="AD10" i="4"/>
  <c r="AD11" i="4"/>
  <c r="AD12" i="4"/>
  <c r="AD13" i="4"/>
  <c r="AD14" i="4"/>
  <c r="AD15" i="4"/>
  <c r="AD4" i="4"/>
  <c r="AC7" i="4"/>
  <c r="AC8" i="4"/>
  <c r="AC9" i="4"/>
  <c r="AC10" i="4"/>
  <c r="AC11" i="4"/>
  <c r="AC12" i="4"/>
  <c r="AC13" i="4"/>
  <c r="AC14" i="4"/>
  <c r="AC15" i="4"/>
  <c r="AC6" i="4"/>
  <c r="AC5" i="4"/>
  <c r="AC4" i="4"/>
  <c r="O8" i="1"/>
  <c r="O4" i="1"/>
  <c r="AD16" i="4" l="1"/>
  <c r="AD7" i="5"/>
</calcChain>
</file>

<file path=xl/comments1.xml><?xml version="1.0" encoding="utf-8"?>
<comments xmlns="http://schemas.openxmlformats.org/spreadsheetml/2006/main">
  <authors>
    <author>Hong Kong Baptist University</author>
  </authors>
  <commentList>
    <comment ref="L3" authorId="0" shapeId="0">
      <text>
        <r>
          <rPr>
            <b/>
            <sz val="9"/>
            <color indexed="81"/>
            <rFont val="Tahoma"/>
            <family val="2"/>
          </rPr>
          <t>Exchange rate may refer to credit card statement</t>
        </r>
      </text>
    </comment>
    <comment ref="R3" authorId="0" shapeId="0">
      <text>
        <r>
          <rPr>
            <b/>
            <sz val="9"/>
            <color indexed="81"/>
            <rFont val="Tahoma"/>
            <family val="2"/>
          </rPr>
          <t>Refer to the service period in calculation: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
=349/365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<sst xmlns="http://schemas.openxmlformats.org/spreadsheetml/2006/main" count="251" uniqueCount="103">
  <si>
    <t>A - Manpower</t>
    <phoneticPr fontId="1" type="noConversion"/>
  </si>
  <si>
    <t>A1</t>
    <phoneticPr fontId="1" type="noConversion"/>
  </si>
  <si>
    <t>A2</t>
    <phoneticPr fontId="1" type="noConversion"/>
  </si>
  <si>
    <t>Category</t>
    <phoneticPr fontId="1" type="noConversion"/>
  </si>
  <si>
    <t>Your Ref no.</t>
    <phoneticPr fontId="1" type="noConversion"/>
  </si>
  <si>
    <t>Employee Name</t>
    <phoneticPr fontId="1" type="noConversion"/>
  </si>
  <si>
    <t>Cheque Date</t>
    <phoneticPr fontId="1" type="noConversion"/>
  </si>
  <si>
    <t>Salary Month</t>
    <phoneticPr fontId="1" type="noConversion"/>
  </si>
  <si>
    <t>Acknowledge receipt</t>
    <phoneticPr fontId="1" type="noConversion"/>
  </si>
  <si>
    <t>Cheque no.</t>
    <phoneticPr fontId="1" type="noConversion"/>
  </si>
  <si>
    <t>Cheque Amount (HKD)</t>
    <phoneticPr fontId="1" type="noConversion"/>
  </si>
  <si>
    <t>Basic Salary (HKD)</t>
    <phoneticPr fontId="1" type="noConversion"/>
  </si>
  <si>
    <t xml:space="preserve">MPF (HKD) </t>
    <phoneticPr fontId="1" type="noConversion"/>
  </si>
  <si>
    <t>Total Amount</t>
    <phoneticPr fontId="1" type="noConversion"/>
  </si>
  <si>
    <t>Sub-total</t>
    <phoneticPr fontId="1" type="noConversion"/>
  </si>
  <si>
    <t>Remarks</t>
    <phoneticPr fontId="1" type="noConversion"/>
  </si>
  <si>
    <t>Cheque Receiving date</t>
    <phoneticPr fontId="1" type="noConversion"/>
  </si>
  <si>
    <t>Item name</t>
    <phoneticPr fontId="1" type="noConversion"/>
  </si>
  <si>
    <t>MPF</t>
    <phoneticPr fontId="1" type="noConversion"/>
  </si>
  <si>
    <t>僱主供款</t>
    <phoneticPr fontId="1" type="noConversion"/>
  </si>
  <si>
    <t>Amount (HKD)</t>
    <phoneticPr fontId="1" type="noConversion"/>
  </si>
  <si>
    <t>Statement Month</t>
    <phoneticPr fontId="1" type="noConversion"/>
  </si>
  <si>
    <t>Total amount</t>
    <phoneticPr fontId="1" type="noConversion"/>
  </si>
  <si>
    <t>B - Equipment</t>
    <phoneticPr fontId="1" type="noConversion"/>
  </si>
  <si>
    <t>Quotation Ref</t>
    <phoneticPr fontId="1" type="noConversion"/>
  </si>
  <si>
    <t>Invoice date</t>
    <phoneticPr fontId="1" type="noConversion"/>
  </si>
  <si>
    <t>Official Invoice no.</t>
    <phoneticPr fontId="1" type="noConversion"/>
  </si>
  <si>
    <t>Vendor name</t>
    <phoneticPr fontId="1" type="noConversion"/>
  </si>
  <si>
    <t>Invoice 抬頭</t>
    <phoneticPr fontId="1" type="noConversion"/>
  </si>
  <si>
    <t>Cheque / 支付宝….. ref no.</t>
    <phoneticPr fontId="1" type="noConversion"/>
  </si>
  <si>
    <t>Official Receipt / Acknowledge receipt</t>
    <phoneticPr fontId="1" type="noConversion"/>
  </si>
  <si>
    <t>交易狀態</t>
    <phoneticPr fontId="1" type="noConversion"/>
  </si>
  <si>
    <t>Delivery Date</t>
    <phoneticPr fontId="1" type="noConversion"/>
  </si>
  <si>
    <t>貨品簽收 / 送貨單</t>
    <phoneticPr fontId="1" type="noConversion"/>
  </si>
  <si>
    <t>Payment method (cheque/cash/支付宝/VISA….)</t>
    <phoneticPr fontId="1" type="noConversion"/>
  </si>
  <si>
    <t>Claim cheque no.</t>
    <phoneticPr fontId="1" type="noConversion"/>
  </si>
  <si>
    <t>Staff name for reimbursement</t>
    <phoneticPr fontId="1" type="noConversion"/>
  </si>
  <si>
    <t>Claim cheque date</t>
    <phoneticPr fontId="1" type="noConversion"/>
  </si>
  <si>
    <t>Claim cheque - acknowledge receipt</t>
    <phoneticPr fontId="1" type="noConversion"/>
  </si>
  <si>
    <t>Invoice currency</t>
    <phoneticPr fontId="1" type="noConversion"/>
  </si>
  <si>
    <t>Exchange rate</t>
    <phoneticPr fontId="1" type="noConversion"/>
  </si>
  <si>
    <t>Bank statement / Payment receipt</t>
    <phoneticPr fontId="1" type="noConversion"/>
  </si>
  <si>
    <t>Equivalent to HKD</t>
    <phoneticPr fontId="1" type="noConversion"/>
  </si>
  <si>
    <t>Invoice Amount</t>
    <phoneticPr fontId="1" type="noConversion"/>
  </si>
  <si>
    <t>Pro-rata ?</t>
    <phoneticPr fontId="1" type="noConversion"/>
  </si>
  <si>
    <r>
      <t>Payment Amount (HKD)
for</t>
    </r>
    <r>
      <rPr>
        <b/>
        <sz val="12"/>
        <color rgb="FFFF0000"/>
        <rFont val="Calibri"/>
        <family val="1"/>
        <charset val="136"/>
        <scheme val="minor"/>
      </rPr>
      <t xml:space="preserve"> TSSSU</t>
    </r>
    <phoneticPr fontId="1" type="noConversion"/>
  </si>
  <si>
    <t>Service Period / 
Travel Period</t>
    <phoneticPr fontId="1" type="noConversion"/>
  </si>
  <si>
    <t>Service period</t>
    <phoneticPr fontId="1" type="noConversion"/>
  </si>
  <si>
    <t>C1</t>
    <phoneticPr fontId="1" type="noConversion"/>
  </si>
  <si>
    <t>Description</t>
    <phoneticPr fontId="1" type="noConversion"/>
  </si>
  <si>
    <t>Description</t>
    <phoneticPr fontId="1" type="noConversion"/>
  </si>
  <si>
    <t>C - Other Direct Costs</t>
    <phoneticPr fontId="1" type="noConversion"/>
  </si>
  <si>
    <t>Vendor name / Contract content</t>
    <phoneticPr fontId="1" type="noConversion"/>
  </si>
  <si>
    <t>Invoice Amount / Contract amount</t>
    <phoneticPr fontId="1" type="noConversion"/>
  </si>
  <si>
    <t>N/A</t>
    <phoneticPr fontId="1" type="noConversion"/>
  </si>
  <si>
    <t>-</t>
    <phoneticPr fontId="1" type="noConversion"/>
  </si>
  <si>
    <t>HKD</t>
    <phoneticPr fontId="1" type="noConversion"/>
  </si>
  <si>
    <t>Finished</t>
    <phoneticPr fontId="1" type="noConversion"/>
  </si>
  <si>
    <t>Payment Amount (HKD)
for TSSSU</t>
    <phoneticPr fontId="1" type="noConversion"/>
  </si>
  <si>
    <t>USD</t>
    <phoneticPr fontId="1" type="noConversion"/>
  </si>
  <si>
    <t>Cash</t>
    <phoneticPr fontId="1" type="noConversion"/>
  </si>
  <si>
    <t>May 1,2020 - May 31,2020</t>
    <phoneticPr fontId="1" type="noConversion"/>
  </si>
  <si>
    <t>Jun 1,2020 - Jun 30,2020</t>
    <phoneticPr fontId="1" type="noConversion"/>
  </si>
  <si>
    <t>Hong Kong Baptist University</t>
    <phoneticPr fontId="1" type="noConversion"/>
  </si>
  <si>
    <t>Upfront payment (One-off)</t>
    <phoneticPr fontId="1" type="noConversion"/>
  </si>
  <si>
    <t>C2</t>
    <phoneticPr fontId="1" type="noConversion"/>
  </si>
  <si>
    <t>Mastercard</t>
    <phoneticPr fontId="1" type="noConversion"/>
  </si>
  <si>
    <t>Jul 1,2020 - Jul 31,2020</t>
    <phoneticPr fontId="1" type="noConversion"/>
  </si>
  <si>
    <t>3 Apr 2020 - 3 Apr 2021</t>
    <phoneticPr fontId="1" type="noConversion"/>
  </si>
  <si>
    <t>19 May 2020 - 19 May 2021</t>
    <phoneticPr fontId="1" type="noConversion"/>
  </si>
  <si>
    <t>Upfront Payment for the IP Licensing</t>
  </si>
  <si>
    <t>A1-1</t>
  </si>
  <si>
    <t>A3-1</t>
  </si>
  <si>
    <t>A3-2</t>
  </si>
  <si>
    <t>A3-3</t>
  </si>
  <si>
    <t>A3-4</t>
  </si>
  <si>
    <t>A3</t>
  </si>
  <si>
    <t>A1-2</t>
  </si>
  <si>
    <t>A1-3</t>
  </si>
  <si>
    <t>A1-4</t>
  </si>
  <si>
    <t>A2-1</t>
  </si>
  <si>
    <t>A2-2</t>
  </si>
  <si>
    <t>A2-3</t>
  </si>
  <si>
    <t>A2-4</t>
  </si>
  <si>
    <t>Chris Chan</t>
  </si>
  <si>
    <t>Chan Tai Man</t>
  </si>
  <si>
    <t>XXX</t>
  </si>
  <si>
    <t>XX/XX/XXXX</t>
  </si>
  <si>
    <t>XXXXX</t>
  </si>
  <si>
    <t>Yes</t>
  </si>
  <si>
    <t>Service Period / 
Travel Period</t>
  </si>
  <si>
    <t>Mastercard</t>
  </si>
  <si>
    <t>ABC LIMITED</t>
  </si>
  <si>
    <t>XXXXXXXX</t>
  </si>
  <si>
    <t>XYZ LTD</t>
  </si>
  <si>
    <t>C1-1, C1-2</t>
  </si>
  <si>
    <t>C1-3, C1-4</t>
  </si>
  <si>
    <t>C2-1</t>
  </si>
  <si>
    <r>
      <t xml:space="preserve">Company Name : </t>
    </r>
    <r>
      <rPr>
        <b/>
        <sz val="16"/>
        <color rgb="FFFF0000"/>
        <rFont val="Calibri"/>
        <family val="2"/>
        <scheme val="minor"/>
      </rPr>
      <t>Input company name here</t>
    </r>
  </si>
  <si>
    <t>xx/xx/xxxx</t>
  </si>
  <si>
    <t>Apr 1,2020 - Apr 30,2020</t>
  </si>
  <si>
    <t>Claimed by Employee, Acknowledge receipt of Cheque Reference no. C1-2</t>
  </si>
  <si>
    <t>Claimed by Employee, Acknowledge receipt of Cheque Reference no. C1-4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</si>
</sst>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(* #,##0.00_);_(* \(#,##0.00\);_(* &quot;-&quot;??_);_(@_)"/>
    <numFmt numFmtId="165" formatCode="0.00000_);[Red]\(0.00000\)"/>
    <numFmt numFmtId="166" formatCode="[$-13C09]d\ mmm\ yyyy;@"/>
  </numFmts>
  <fonts count="18">
    <font>
      <sz val="11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1"/>
      <color theme="1"/>
      <name val="Calibri"/>
      <family val="1"/>
      <charset val="136"/>
      <scheme val="minor"/>
    </font>
    <font>
      <b/>
      <sz val="16"/>
      <color theme="1"/>
      <name val="Calibri"/>
      <family val="1"/>
      <charset val="136"/>
      <scheme val="minor"/>
    </font>
    <font>
      <sz val="14"/>
      <color theme="1"/>
      <name val="Calibri"/>
      <family val="2"/>
      <charset val="136"/>
      <scheme val="minor"/>
    </font>
    <font>
      <sz val="18"/>
      <color theme="1"/>
      <name val="Calibri"/>
      <family val="2"/>
      <charset val="136"/>
      <scheme val="minor"/>
    </font>
    <font>
      <sz val="18"/>
      <color theme="1"/>
      <name val="Calibri"/>
      <family val="1"/>
      <charset val="136"/>
      <scheme val="minor"/>
    </font>
    <font>
      <b/>
      <sz val="12"/>
      <color theme="1"/>
      <name val="Calibri"/>
      <family val="1"/>
      <charset val="136"/>
      <scheme val="minor"/>
    </font>
    <font>
      <b/>
      <sz val="12"/>
      <color rgb="FFFF0000"/>
      <name val="Calibri"/>
      <family val="1"/>
      <charset val="136"/>
      <scheme val="minor"/>
    </font>
    <font>
      <sz val="11"/>
      <color theme="1"/>
      <name val="Calibri"/>
      <family val="2"/>
      <charset val="136"/>
      <scheme val="minor"/>
    </font>
    <font>
      <sz val="11"/>
      <color theme="1"/>
      <name val="Cambria"/>
      <family val="1"/>
      <charset val="136"/>
      <scheme val="major"/>
    </font>
    <font>
      <sz val="11"/>
      <name val="Calibri"/>
      <family val="1"/>
      <charset val="136"/>
      <scheme val="minor"/>
    </font>
    <font>
      <sz val="11"/>
      <name val="Calibri"/>
      <family val="2"/>
      <charset val="136"/>
      <scheme val="minor"/>
    </font>
    <font>
      <b/>
      <sz val="12"/>
      <name val="Calibri"/>
      <family val="1"/>
      <charset val="136"/>
      <scheme val="minor"/>
    </font>
    <font>
      <sz val="11"/>
      <color rgb="FFFF0000"/>
      <name val="Calibri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64" fontId="9" fillId="0" borderId="0" applyFont="0" applyFill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0" fillId="4" borderId="3" xfId="0" applyFill="1" applyBorder="1" applyAlignment="1">
      <alignment vertical="center"/>
    </xf>
    <xf numFmtId="0" fontId="2" fillId="4" borderId="4" xfId="0" applyFont="1" applyFill="1" applyBorder="1" applyAlignment="1">
      <alignment horizontal="center" vertical="center"/>
    </xf>
    <xf numFmtId="0" fontId="0" fillId="5" borderId="7" xfId="0" applyFill="1" applyBorder="1">
      <alignment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5" borderId="5" xfId="0" applyFont="1" applyFill="1" applyBorder="1">
      <alignment vertical="center"/>
    </xf>
    <xf numFmtId="0" fontId="0" fillId="5" borderId="6" xfId="0" applyFill="1" applyBorder="1">
      <alignment vertical="center"/>
    </xf>
    <xf numFmtId="17" fontId="0" fillId="0" borderId="1" xfId="0" applyNumberFormat="1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64" fontId="0" fillId="0" borderId="1" xfId="1" applyFont="1" applyBorder="1">
      <alignment vertical="center"/>
    </xf>
    <xf numFmtId="164" fontId="2" fillId="3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>
      <alignment vertical="center"/>
    </xf>
    <xf numFmtId="0" fontId="0" fillId="0" borderId="0" xfId="0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>
      <alignment vertical="center"/>
    </xf>
    <xf numFmtId="14" fontId="12" fillId="0" borderId="1" xfId="0" applyNumberFormat="1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164" fontId="11" fillId="0" borderId="1" xfId="1" applyFont="1" applyBorder="1">
      <alignment vertical="center"/>
    </xf>
    <xf numFmtId="165" fontId="11" fillId="0" borderId="1" xfId="0" applyNumberFormat="1" applyFont="1" applyBorder="1">
      <alignment vertical="center"/>
    </xf>
    <xf numFmtId="165" fontId="0" fillId="0" borderId="1" xfId="0" applyNumberFormat="1" applyBorder="1">
      <alignment vertical="center"/>
    </xf>
    <xf numFmtId="166" fontId="11" fillId="0" borderId="1" xfId="0" applyNumberFormat="1" applyFont="1" applyBorder="1" applyAlignment="1">
      <alignment horizontal="left" vertical="center"/>
    </xf>
    <xf numFmtId="166" fontId="0" fillId="0" borderId="1" xfId="0" applyNumberFormat="1" applyBorder="1" applyAlignment="1">
      <alignment horizontal="left" vertical="center"/>
    </xf>
    <xf numFmtId="0" fontId="11" fillId="0" borderId="1" xfId="0" applyFont="1" applyFill="1" applyBorder="1" applyAlignment="1">
      <alignment vertical="center" wrapText="1"/>
    </xf>
    <xf numFmtId="164" fontId="0" fillId="0" borderId="0" xfId="0" applyNumberFormat="1" applyAlignment="1">
      <alignment horizontal="center" vertic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164" fontId="0" fillId="0" borderId="1" xfId="1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12" fillId="0" borderId="1" xfId="0" applyNumberFormat="1" applyFont="1" applyBorder="1">
      <alignment vertical="center"/>
    </xf>
    <xf numFmtId="0" fontId="14" fillId="0" borderId="0" xfId="0" applyFont="1">
      <alignment vertical="center"/>
    </xf>
    <xf numFmtId="43" fontId="0" fillId="0" borderId="1" xfId="0" applyNumberFormat="1" applyBorder="1" applyAlignment="1">
      <alignment horizontal="center" vertical="center"/>
    </xf>
    <xf numFmtId="164" fontId="2" fillId="2" borderId="5" xfId="1" applyFont="1" applyFill="1" applyBorder="1" applyAlignment="1">
      <alignment horizontal="center" vertical="center"/>
    </xf>
    <xf numFmtId="164" fontId="2" fillId="2" borderId="6" xfId="1" applyFont="1" applyFill="1" applyBorder="1" applyAlignment="1">
      <alignment horizontal="center" vertical="center"/>
    </xf>
    <xf numFmtId="164" fontId="2" fillId="2" borderId="7" xfId="1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" fontId="0" fillId="0" borderId="2" xfId="0" applyNumberFormat="1" applyBorder="1" applyAlignment="1">
      <alignment horizontal="center" vertical="center"/>
    </xf>
    <xf numFmtId="17" fontId="0" fillId="0" borderId="4" xfId="0" applyNumberForma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8"/>
  <sheetViews>
    <sheetView tabSelected="1" view="pageBreakPreview" zoomScale="60" zoomScaleNormal="115" workbookViewId="0">
      <selection activeCell="O14" sqref="O14:O17"/>
    </sheetView>
  </sheetViews>
  <sheetFormatPr defaultRowHeight="15"/>
  <cols>
    <col min="1" max="1" width="12.140625" style="6" customWidth="1"/>
    <col min="2" max="2" width="14.85546875" style="6" customWidth="1"/>
    <col min="3" max="5" width="16.28515625" customWidth="1"/>
    <col min="6" max="6" width="26.42578125" customWidth="1"/>
    <col min="7" max="7" width="15.140625" customWidth="1"/>
    <col min="8" max="8" width="15.5703125" customWidth="1"/>
    <col min="9" max="9" width="26.140625" style="6" customWidth="1"/>
    <col min="10" max="10" width="22.28515625" customWidth="1"/>
    <col min="11" max="11" width="16.140625" customWidth="1"/>
    <col min="12" max="12" width="25.28515625" customWidth="1"/>
    <col min="13" max="13" width="18.140625" customWidth="1"/>
    <col min="14" max="14" width="22.140625" customWidth="1"/>
    <col min="15" max="15" width="13.85546875" customWidth="1"/>
    <col min="16" max="16" width="25.28515625" style="6" customWidth="1"/>
    <col min="17" max="17" width="9.140625" customWidth="1"/>
  </cols>
  <sheetData>
    <row r="1" spans="1:16" ht="33" customHeight="1">
      <c r="A1" s="12" t="s">
        <v>98</v>
      </c>
      <c r="B1" s="12"/>
      <c r="C1" s="1"/>
      <c r="D1" s="1"/>
      <c r="E1" s="1"/>
    </row>
    <row r="2" spans="1:16" ht="23.25">
      <c r="A2" s="68" t="s">
        <v>0</v>
      </c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1"/>
      <c r="O2" s="7"/>
      <c r="P2" s="8"/>
    </row>
    <row r="3" spans="1:16" ht="47.25" customHeight="1">
      <c r="A3" s="5" t="s">
        <v>3</v>
      </c>
      <c r="B3" s="5" t="s">
        <v>17</v>
      </c>
      <c r="C3" s="4" t="s">
        <v>4</v>
      </c>
      <c r="D3" s="4" t="s">
        <v>7</v>
      </c>
      <c r="E3" s="4" t="s">
        <v>47</v>
      </c>
      <c r="F3" s="4" t="s">
        <v>5</v>
      </c>
      <c r="G3" s="4" t="s">
        <v>6</v>
      </c>
      <c r="H3" s="4" t="s">
        <v>9</v>
      </c>
      <c r="I3" s="5" t="s">
        <v>10</v>
      </c>
      <c r="J3" s="4" t="s">
        <v>11</v>
      </c>
      <c r="K3" s="4" t="s">
        <v>12</v>
      </c>
      <c r="L3" s="4" t="s">
        <v>8</v>
      </c>
      <c r="M3" s="13" t="s">
        <v>16</v>
      </c>
      <c r="N3" s="4" t="s">
        <v>15</v>
      </c>
      <c r="O3" s="7"/>
      <c r="P3" s="9" t="s">
        <v>13</v>
      </c>
    </row>
    <row r="4" spans="1:16" ht="30">
      <c r="A4" s="72" t="s">
        <v>1</v>
      </c>
      <c r="B4" s="72" t="s">
        <v>86</v>
      </c>
      <c r="C4" s="2" t="s">
        <v>71</v>
      </c>
      <c r="D4" s="29">
        <v>43922</v>
      </c>
      <c r="E4" s="30" t="s">
        <v>100</v>
      </c>
      <c r="F4" s="2" t="s">
        <v>84</v>
      </c>
      <c r="G4" s="31" t="s">
        <v>87</v>
      </c>
      <c r="H4" s="31" t="s">
        <v>88</v>
      </c>
      <c r="I4" s="61">
        <f>J4-K4</f>
        <v>9500</v>
      </c>
      <c r="J4" s="32">
        <v>10000</v>
      </c>
      <c r="K4" s="32">
        <f>J4*0.05</f>
        <v>500</v>
      </c>
      <c r="L4" s="2" t="s">
        <v>89</v>
      </c>
      <c r="M4" s="31" t="s">
        <v>87</v>
      </c>
      <c r="N4" s="52"/>
      <c r="O4" s="65" t="str">
        <f>A4</f>
        <v>A1</v>
      </c>
      <c r="P4" s="75">
        <f>SUM(I4:I7)+SUM(K4:K7)</f>
        <v>40000</v>
      </c>
    </row>
    <row r="5" spans="1:16" ht="30">
      <c r="A5" s="73"/>
      <c r="B5" s="73"/>
      <c r="C5" s="2" t="s">
        <v>77</v>
      </c>
      <c r="D5" s="29">
        <v>43952</v>
      </c>
      <c r="E5" s="30" t="s">
        <v>61</v>
      </c>
      <c r="F5" s="2" t="s">
        <v>84</v>
      </c>
      <c r="G5" s="31" t="s">
        <v>87</v>
      </c>
      <c r="H5" s="31" t="s">
        <v>88</v>
      </c>
      <c r="I5" s="61">
        <f t="shared" ref="I5:I11" si="0">J5-K5</f>
        <v>9500</v>
      </c>
      <c r="J5" s="32">
        <v>10000</v>
      </c>
      <c r="K5" s="32">
        <f t="shared" ref="K5:K11" si="1">J5*0.05</f>
        <v>500</v>
      </c>
      <c r="L5" s="2" t="s">
        <v>89</v>
      </c>
      <c r="M5" s="31" t="s">
        <v>87</v>
      </c>
      <c r="N5" s="48"/>
      <c r="O5" s="66"/>
      <c r="P5" s="76"/>
    </row>
    <row r="6" spans="1:16" ht="30">
      <c r="A6" s="73"/>
      <c r="B6" s="73"/>
      <c r="C6" s="2" t="s">
        <v>78</v>
      </c>
      <c r="D6" s="29">
        <v>43983</v>
      </c>
      <c r="E6" s="30" t="s">
        <v>62</v>
      </c>
      <c r="F6" s="2" t="s">
        <v>84</v>
      </c>
      <c r="G6" s="31" t="s">
        <v>87</v>
      </c>
      <c r="H6" s="31" t="s">
        <v>88</v>
      </c>
      <c r="I6" s="61">
        <f t="shared" si="0"/>
        <v>9500</v>
      </c>
      <c r="J6" s="32">
        <v>10000</v>
      </c>
      <c r="K6" s="32">
        <f t="shared" si="1"/>
        <v>500</v>
      </c>
      <c r="L6" s="2" t="s">
        <v>89</v>
      </c>
      <c r="M6" s="31" t="s">
        <v>87</v>
      </c>
      <c r="N6" s="48"/>
      <c r="O6" s="66"/>
      <c r="P6" s="76"/>
    </row>
    <row r="7" spans="1:16" ht="30">
      <c r="A7" s="74"/>
      <c r="B7" s="74"/>
      <c r="C7" s="2" t="s">
        <v>79</v>
      </c>
      <c r="D7" s="29">
        <v>44013</v>
      </c>
      <c r="E7" s="30" t="s">
        <v>67</v>
      </c>
      <c r="F7" s="2" t="s">
        <v>84</v>
      </c>
      <c r="G7" s="31" t="s">
        <v>87</v>
      </c>
      <c r="H7" s="31" t="s">
        <v>88</v>
      </c>
      <c r="I7" s="61">
        <f t="shared" si="0"/>
        <v>9500</v>
      </c>
      <c r="J7" s="32">
        <v>10000</v>
      </c>
      <c r="K7" s="32">
        <f t="shared" si="1"/>
        <v>500</v>
      </c>
      <c r="L7" s="2" t="s">
        <v>89</v>
      </c>
      <c r="M7" s="31" t="s">
        <v>87</v>
      </c>
      <c r="N7" s="48"/>
      <c r="O7" s="67"/>
      <c r="P7" s="77"/>
    </row>
    <row r="8" spans="1:16" ht="30">
      <c r="A8" s="72" t="s">
        <v>2</v>
      </c>
      <c r="B8" s="78" t="s">
        <v>86</v>
      </c>
      <c r="C8" s="2" t="s">
        <v>80</v>
      </c>
      <c r="D8" s="29">
        <v>43922</v>
      </c>
      <c r="E8" s="30" t="s">
        <v>100</v>
      </c>
      <c r="F8" s="2" t="s">
        <v>85</v>
      </c>
      <c r="G8" s="31" t="s">
        <v>87</v>
      </c>
      <c r="H8" s="31" t="s">
        <v>88</v>
      </c>
      <c r="I8" s="61">
        <f t="shared" si="0"/>
        <v>9500</v>
      </c>
      <c r="J8" s="32">
        <v>10000</v>
      </c>
      <c r="K8" s="32">
        <f t="shared" si="1"/>
        <v>500</v>
      </c>
      <c r="L8" s="2" t="s">
        <v>89</v>
      </c>
      <c r="M8" s="31" t="s">
        <v>87</v>
      </c>
      <c r="N8" s="52"/>
      <c r="O8" s="65" t="str">
        <f>A8</f>
        <v>A2</v>
      </c>
      <c r="P8" s="75">
        <f>SUM(I8:I11)+SUM(K8:K11)</f>
        <v>40000</v>
      </c>
    </row>
    <row r="9" spans="1:16" ht="30">
      <c r="A9" s="73"/>
      <c r="B9" s="79"/>
      <c r="C9" s="2" t="s">
        <v>81</v>
      </c>
      <c r="D9" s="29">
        <v>43952</v>
      </c>
      <c r="E9" s="30" t="s">
        <v>61</v>
      </c>
      <c r="F9" s="2" t="s">
        <v>85</v>
      </c>
      <c r="G9" s="31" t="s">
        <v>87</v>
      </c>
      <c r="H9" s="31" t="s">
        <v>88</v>
      </c>
      <c r="I9" s="61">
        <f t="shared" si="0"/>
        <v>9500</v>
      </c>
      <c r="J9" s="32">
        <v>10000</v>
      </c>
      <c r="K9" s="32">
        <f t="shared" si="1"/>
        <v>500</v>
      </c>
      <c r="L9" s="2" t="s">
        <v>89</v>
      </c>
      <c r="M9" s="31" t="s">
        <v>87</v>
      </c>
      <c r="N9" s="48"/>
      <c r="O9" s="66"/>
      <c r="P9" s="76"/>
    </row>
    <row r="10" spans="1:16" ht="30">
      <c r="A10" s="73"/>
      <c r="B10" s="79"/>
      <c r="C10" s="2" t="s">
        <v>82</v>
      </c>
      <c r="D10" s="29">
        <v>43983</v>
      </c>
      <c r="E10" s="30" t="s">
        <v>62</v>
      </c>
      <c r="F10" s="2" t="s">
        <v>85</v>
      </c>
      <c r="G10" s="31" t="s">
        <v>87</v>
      </c>
      <c r="H10" s="31" t="s">
        <v>88</v>
      </c>
      <c r="I10" s="61">
        <f t="shared" si="0"/>
        <v>9500</v>
      </c>
      <c r="J10" s="32">
        <v>10000</v>
      </c>
      <c r="K10" s="32">
        <f t="shared" si="1"/>
        <v>500</v>
      </c>
      <c r="L10" s="2" t="s">
        <v>89</v>
      </c>
      <c r="M10" s="31" t="s">
        <v>87</v>
      </c>
      <c r="N10" s="48"/>
      <c r="O10" s="66"/>
      <c r="P10" s="76"/>
    </row>
    <row r="11" spans="1:16" ht="30">
      <c r="A11" s="74"/>
      <c r="B11" s="80"/>
      <c r="C11" s="2" t="s">
        <v>83</v>
      </c>
      <c r="D11" s="29">
        <v>44013</v>
      </c>
      <c r="E11" s="30" t="s">
        <v>67</v>
      </c>
      <c r="F11" s="2" t="s">
        <v>85</v>
      </c>
      <c r="G11" s="31" t="s">
        <v>87</v>
      </c>
      <c r="H11" s="31" t="s">
        <v>88</v>
      </c>
      <c r="I11" s="61">
        <f t="shared" si="0"/>
        <v>9500</v>
      </c>
      <c r="J11" s="32">
        <v>10000</v>
      </c>
      <c r="K11" s="32">
        <f t="shared" si="1"/>
        <v>500</v>
      </c>
      <c r="L11" s="2" t="s">
        <v>89</v>
      </c>
      <c r="M11" s="31" t="s">
        <v>87</v>
      </c>
      <c r="N11" s="48"/>
      <c r="O11" s="67"/>
      <c r="P11" s="77"/>
    </row>
    <row r="12" spans="1:16">
      <c r="A12" s="17"/>
      <c r="B12" s="18"/>
      <c r="C12" s="19"/>
      <c r="D12" s="19"/>
      <c r="E12" s="19"/>
      <c r="F12" s="19"/>
      <c r="G12" s="19"/>
      <c r="H12" s="19"/>
      <c r="I12" s="18"/>
      <c r="J12" s="19"/>
      <c r="K12" s="19"/>
      <c r="L12" s="19"/>
      <c r="M12" s="19"/>
      <c r="N12" s="19"/>
      <c r="O12" s="20"/>
      <c r="P12" s="21"/>
    </row>
    <row r="13" spans="1:16" ht="15.75">
      <c r="A13" s="72" t="s">
        <v>76</v>
      </c>
      <c r="B13" s="72" t="s">
        <v>18</v>
      </c>
      <c r="C13" s="4" t="s">
        <v>4</v>
      </c>
      <c r="D13" s="4" t="s">
        <v>7</v>
      </c>
      <c r="E13" s="27"/>
      <c r="F13" s="84" t="s">
        <v>19</v>
      </c>
      <c r="G13" s="87" t="s">
        <v>21</v>
      </c>
      <c r="H13" s="88"/>
      <c r="I13" s="5" t="s">
        <v>20</v>
      </c>
      <c r="J13" s="81"/>
      <c r="K13" s="84"/>
      <c r="L13" s="84"/>
      <c r="M13" s="84"/>
      <c r="N13" s="4" t="s">
        <v>15</v>
      </c>
      <c r="O13" s="15"/>
      <c r="P13" s="11" t="s">
        <v>22</v>
      </c>
    </row>
    <row r="14" spans="1:16">
      <c r="A14" s="73"/>
      <c r="B14" s="73"/>
      <c r="C14" s="2" t="s">
        <v>72</v>
      </c>
      <c r="D14" s="29">
        <v>43922</v>
      </c>
      <c r="E14" s="28"/>
      <c r="F14" s="85"/>
      <c r="G14" s="89">
        <v>43922</v>
      </c>
      <c r="H14" s="90"/>
      <c r="I14" s="56">
        <f>1000</f>
        <v>1000</v>
      </c>
      <c r="J14" s="82"/>
      <c r="K14" s="85"/>
      <c r="L14" s="85"/>
      <c r="M14" s="85"/>
      <c r="N14" s="52"/>
      <c r="O14" s="65" t="s">
        <v>76</v>
      </c>
      <c r="P14" s="62">
        <f>SUM(I14:I17)</f>
        <v>4000</v>
      </c>
    </row>
    <row r="15" spans="1:16">
      <c r="A15" s="73"/>
      <c r="B15" s="73"/>
      <c r="C15" s="2" t="s">
        <v>73</v>
      </c>
      <c r="D15" s="29">
        <v>43952</v>
      </c>
      <c r="E15" s="28"/>
      <c r="F15" s="85"/>
      <c r="G15" s="89">
        <v>43952</v>
      </c>
      <c r="H15" s="90"/>
      <c r="I15" s="56">
        <f>1000</f>
        <v>1000</v>
      </c>
      <c r="J15" s="82"/>
      <c r="K15" s="85"/>
      <c r="L15" s="85"/>
      <c r="M15" s="85"/>
      <c r="N15" s="52"/>
      <c r="O15" s="66"/>
      <c r="P15" s="63"/>
    </row>
    <row r="16" spans="1:16">
      <c r="A16" s="73"/>
      <c r="B16" s="73"/>
      <c r="C16" s="2" t="s">
        <v>74</v>
      </c>
      <c r="D16" s="29">
        <v>43983</v>
      </c>
      <c r="E16" s="28"/>
      <c r="F16" s="85"/>
      <c r="G16" s="89">
        <v>43983</v>
      </c>
      <c r="H16" s="90"/>
      <c r="I16" s="56">
        <f>1000</f>
        <v>1000</v>
      </c>
      <c r="J16" s="82"/>
      <c r="K16" s="85"/>
      <c r="L16" s="85"/>
      <c r="M16" s="85"/>
      <c r="N16" s="52"/>
      <c r="O16" s="66"/>
      <c r="P16" s="63"/>
    </row>
    <row r="17" spans="1:16">
      <c r="A17" s="74"/>
      <c r="B17" s="74"/>
      <c r="C17" s="2" t="s">
        <v>75</v>
      </c>
      <c r="D17" s="29">
        <v>44013</v>
      </c>
      <c r="E17" s="22"/>
      <c r="F17" s="86"/>
      <c r="G17" s="89">
        <v>44013</v>
      </c>
      <c r="H17" s="90"/>
      <c r="I17" s="56">
        <f>1000</f>
        <v>1000</v>
      </c>
      <c r="J17" s="83"/>
      <c r="K17" s="86"/>
      <c r="L17" s="86"/>
      <c r="M17" s="86"/>
      <c r="N17" s="52"/>
      <c r="O17" s="67"/>
      <c r="P17" s="64"/>
    </row>
    <row r="18" spans="1:16" ht="18.75">
      <c r="O18" s="10" t="s">
        <v>14</v>
      </c>
      <c r="P18" s="33">
        <f>SUM(P4:P17)</f>
        <v>84000</v>
      </c>
    </row>
  </sheetData>
  <mergeCells count="23">
    <mergeCell ref="B13:B17"/>
    <mergeCell ref="G16:H16"/>
    <mergeCell ref="F13:F17"/>
    <mergeCell ref="G13:H13"/>
    <mergeCell ref="G14:H14"/>
    <mergeCell ref="G15:H15"/>
    <mergeCell ref="G17:H17"/>
    <mergeCell ref="P14:P17"/>
    <mergeCell ref="O4:O7"/>
    <mergeCell ref="O8:O11"/>
    <mergeCell ref="A2:N2"/>
    <mergeCell ref="A4:A7"/>
    <mergeCell ref="A8:A11"/>
    <mergeCell ref="P4:P7"/>
    <mergeCell ref="P8:P11"/>
    <mergeCell ref="O14:O17"/>
    <mergeCell ref="B4:B7"/>
    <mergeCell ref="B8:B11"/>
    <mergeCell ref="J13:J17"/>
    <mergeCell ref="K13:K17"/>
    <mergeCell ref="L13:L17"/>
    <mergeCell ref="M13:M17"/>
    <mergeCell ref="A13:A17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"/>
  <sheetViews>
    <sheetView zoomScaleNormal="100" workbookViewId="0"/>
  </sheetViews>
  <sheetFormatPr defaultRowHeight="15"/>
  <cols>
    <col min="1" max="1" width="12.140625" style="6" customWidth="1"/>
    <col min="2" max="2" width="14.85546875" style="6" customWidth="1"/>
    <col min="3" max="6" width="16.28515625" customWidth="1"/>
    <col min="7" max="7" width="22.7109375" customWidth="1"/>
    <col min="8" max="8" width="15.7109375" customWidth="1"/>
    <col min="9" max="9" width="14" customWidth="1"/>
    <col min="10" max="10" width="11.42578125" customWidth="1"/>
    <col min="11" max="13" width="18.5703125" customWidth="1"/>
    <col min="14" max="14" width="20.42578125" customWidth="1"/>
    <col min="15" max="15" width="23" customWidth="1"/>
    <col min="16" max="17" width="18.85546875" customWidth="1"/>
    <col min="18" max="18" width="15.140625" customWidth="1"/>
    <col min="19" max="19" width="26.140625" style="6" customWidth="1"/>
    <col min="20" max="20" width="22.28515625" customWidth="1"/>
    <col min="21" max="21" width="16.140625" customWidth="1"/>
    <col min="22" max="22" width="19.42578125" customWidth="1"/>
    <col min="23" max="27" width="18.140625" customWidth="1"/>
    <col min="28" max="28" width="20" customWidth="1"/>
    <col min="29" max="29" width="13.85546875" style="6" customWidth="1"/>
    <col min="30" max="30" width="25.28515625" style="6" customWidth="1"/>
  </cols>
  <sheetData>
    <row r="1" spans="1:30" ht="33" customHeight="1">
      <c r="A1" s="12" t="s">
        <v>98</v>
      </c>
      <c r="B1" s="12"/>
      <c r="C1" s="1"/>
      <c r="D1" s="1"/>
      <c r="E1" s="1"/>
      <c r="F1" s="1"/>
    </row>
    <row r="2" spans="1:30" ht="23.25">
      <c r="A2" s="68" t="s">
        <v>23</v>
      </c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1"/>
      <c r="AC2" s="8"/>
      <c r="AD2" s="8"/>
    </row>
    <row r="3" spans="1:30" ht="63.75" customHeight="1">
      <c r="A3" s="5" t="s">
        <v>3</v>
      </c>
      <c r="B3" s="5" t="s">
        <v>17</v>
      </c>
      <c r="C3" s="4" t="s">
        <v>4</v>
      </c>
      <c r="D3" s="4" t="s">
        <v>24</v>
      </c>
      <c r="E3" s="4" t="s">
        <v>27</v>
      </c>
      <c r="F3" s="4" t="s">
        <v>50</v>
      </c>
      <c r="G3" s="4" t="s">
        <v>26</v>
      </c>
      <c r="H3" s="4" t="s">
        <v>28</v>
      </c>
      <c r="I3" s="4" t="s">
        <v>25</v>
      </c>
      <c r="J3" s="13" t="s">
        <v>39</v>
      </c>
      <c r="K3" s="13" t="s">
        <v>43</v>
      </c>
      <c r="L3" s="13" t="s">
        <v>40</v>
      </c>
      <c r="M3" s="13" t="s">
        <v>42</v>
      </c>
      <c r="N3" s="13" t="s">
        <v>46</v>
      </c>
      <c r="O3" s="13" t="s">
        <v>34</v>
      </c>
      <c r="P3" s="13" t="s">
        <v>29</v>
      </c>
      <c r="Q3" s="13" t="s">
        <v>41</v>
      </c>
      <c r="R3" s="25" t="s">
        <v>44</v>
      </c>
      <c r="S3" s="26" t="s">
        <v>45</v>
      </c>
      <c r="T3" s="13" t="s">
        <v>30</v>
      </c>
      <c r="U3" s="4" t="s">
        <v>31</v>
      </c>
      <c r="V3" s="4" t="s">
        <v>32</v>
      </c>
      <c r="W3" s="13" t="s">
        <v>33</v>
      </c>
      <c r="X3" s="13" t="s">
        <v>36</v>
      </c>
      <c r="Y3" s="13" t="s">
        <v>35</v>
      </c>
      <c r="Z3" s="13" t="s">
        <v>37</v>
      </c>
      <c r="AA3" s="13" t="s">
        <v>38</v>
      </c>
      <c r="AB3" s="4" t="s">
        <v>15</v>
      </c>
      <c r="AC3" s="8"/>
      <c r="AD3" s="9" t="s">
        <v>13</v>
      </c>
    </row>
    <row r="4" spans="1:30">
      <c r="A4" s="3" t="s">
        <v>54</v>
      </c>
      <c r="B4" s="3" t="s">
        <v>54</v>
      </c>
      <c r="C4" s="3" t="s">
        <v>54</v>
      </c>
      <c r="D4" s="3" t="s">
        <v>54</v>
      </c>
      <c r="E4" s="3" t="s">
        <v>54</v>
      </c>
      <c r="F4" s="3" t="s">
        <v>54</v>
      </c>
      <c r="G4" s="3" t="s">
        <v>54</v>
      </c>
      <c r="H4" s="3" t="s">
        <v>54</v>
      </c>
      <c r="I4" s="3" t="s">
        <v>54</v>
      </c>
      <c r="J4" s="3" t="s">
        <v>54</v>
      </c>
      <c r="K4" s="3" t="s">
        <v>54</v>
      </c>
      <c r="L4" s="3" t="s">
        <v>54</v>
      </c>
      <c r="M4" s="3" t="s">
        <v>54</v>
      </c>
      <c r="N4" s="3" t="s">
        <v>54</v>
      </c>
      <c r="O4" s="3" t="s">
        <v>54</v>
      </c>
      <c r="P4" s="3" t="s">
        <v>54</v>
      </c>
      <c r="Q4" s="3" t="s">
        <v>54</v>
      </c>
      <c r="R4" s="3" t="s">
        <v>54</v>
      </c>
      <c r="S4" s="3" t="s">
        <v>54</v>
      </c>
      <c r="T4" s="3" t="s">
        <v>54</v>
      </c>
      <c r="U4" s="3" t="s">
        <v>54</v>
      </c>
      <c r="V4" s="3" t="s">
        <v>54</v>
      </c>
      <c r="W4" s="3" t="s">
        <v>54</v>
      </c>
      <c r="X4" s="3" t="s">
        <v>54</v>
      </c>
      <c r="Y4" s="3" t="s">
        <v>54</v>
      </c>
      <c r="Z4" s="3" t="s">
        <v>54</v>
      </c>
      <c r="AA4" s="3" t="s">
        <v>54</v>
      </c>
      <c r="AB4" s="3" t="s">
        <v>54</v>
      </c>
      <c r="AC4" s="8" t="str">
        <f t="shared" ref="AC4:AC15" si="0">A4</f>
        <v>N/A</v>
      </c>
      <c r="AD4" s="16" t="str">
        <f>S4</f>
        <v>N/A</v>
      </c>
    </row>
    <row r="5" spans="1:30">
      <c r="A5" s="3"/>
      <c r="B5" s="23"/>
      <c r="C5" s="2"/>
      <c r="D5" s="2"/>
      <c r="E5" s="2"/>
      <c r="F5" s="2"/>
      <c r="G5" s="2"/>
      <c r="H5" s="2"/>
      <c r="I5" s="2"/>
      <c r="J5" s="2"/>
      <c r="K5" s="24"/>
      <c r="L5" s="24"/>
      <c r="M5" s="24">
        <f t="shared" ref="M5:M15" si="1">K5*L5</f>
        <v>0</v>
      </c>
      <c r="N5" s="24"/>
      <c r="O5" s="2"/>
      <c r="P5" s="2"/>
      <c r="Q5" s="2"/>
      <c r="R5" s="2"/>
      <c r="S5" s="3">
        <v>0</v>
      </c>
      <c r="T5" s="2"/>
      <c r="U5" s="2"/>
      <c r="V5" s="2"/>
      <c r="W5" s="2"/>
      <c r="X5" s="2"/>
      <c r="Y5" s="2"/>
      <c r="Z5" s="2"/>
      <c r="AA5" s="2"/>
      <c r="AB5" s="2"/>
      <c r="AC5" s="8">
        <f t="shared" si="0"/>
        <v>0</v>
      </c>
      <c r="AD5" s="16">
        <f t="shared" ref="AD5:AD15" si="2">S5</f>
        <v>0</v>
      </c>
    </row>
    <row r="6" spans="1:30">
      <c r="A6" s="3"/>
      <c r="B6" s="23"/>
      <c r="C6" s="2"/>
      <c r="D6" s="2"/>
      <c r="E6" s="2"/>
      <c r="F6" s="2"/>
      <c r="G6" s="2"/>
      <c r="H6" s="2"/>
      <c r="I6" s="2"/>
      <c r="J6" s="2"/>
      <c r="K6" s="24"/>
      <c r="L6" s="24"/>
      <c r="M6" s="24">
        <f t="shared" si="1"/>
        <v>0</v>
      </c>
      <c r="N6" s="24"/>
      <c r="O6" s="2"/>
      <c r="P6" s="2"/>
      <c r="Q6" s="2"/>
      <c r="R6" s="2"/>
      <c r="S6" s="3">
        <v>0</v>
      </c>
      <c r="T6" s="2"/>
      <c r="U6" s="2"/>
      <c r="V6" s="2"/>
      <c r="W6" s="2"/>
      <c r="X6" s="2"/>
      <c r="Y6" s="2"/>
      <c r="Z6" s="2"/>
      <c r="AA6" s="2"/>
      <c r="AB6" s="2"/>
      <c r="AC6" s="8">
        <f t="shared" si="0"/>
        <v>0</v>
      </c>
      <c r="AD6" s="16">
        <f t="shared" si="2"/>
        <v>0</v>
      </c>
    </row>
    <row r="7" spans="1:30">
      <c r="A7" s="3"/>
      <c r="B7" s="23"/>
      <c r="C7" s="2"/>
      <c r="D7" s="2"/>
      <c r="E7" s="2"/>
      <c r="F7" s="2"/>
      <c r="G7" s="2"/>
      <c r="H7" s="2"/>
      <c r="I7" s="2"/>
      <c r="J7" s="2"/>
      <c r="K7" s="24"/>
      <c r="L7" s="24"/>
      <c r="M7" s="24">
        <f t="shared" si="1"/>
        <v>0</v>
      </c>
      <c r="N7" s="24"/>
      <c r="O7" s="2"/>
      <c r="P7" s="2"/>
      <c r="Q7" s="2"/>
      <c r="R7" s="2"/>
      <c r="S7" s="3">
        <v>0</v>
      </c>
      <c r="T7" s="2"/>
      <c r="U7" s="2"/>
      <c r="V7" s="2"/>
      <c r="W7" s="2"/>
      <c r="X7" s="2"/>
      <c r="Y7" s="2"/>
      <c r="Z7" s="2"/>
      <c r="AA7" s="2"/>
      <c r="AB7" s="2"/>
      <c r="AC7" s="8">
        <f t="shared" si="0"/>
        <v>0</v>
      </c>
      <c r="AD7" s="16">
        <f t="shared" si="2"/>
        <v>0</v>
      </c>
    </row>
    <row r="8" spans="1:30">
      <c r="A8" s="3"/>
      <c r="B8" s="23"/>
      <c r="C8" s="2"/>
      <c r="D8" s="2"/>
      <c r="E8" s="2"/>
      <c r="F8" s="2"/>
      <c r="G8" s="2"/>
      <c r="H8" s="2"/>
      <c r="I8" s="2"/>
      <c r="J8" s="2"/>
      <c r="K8" s="24"/>
      <c r="L8" s="24"/>
      <c r="M8" s="24">
        <f t="shared" si="1"/>
        <v>0</v>
      </c>
      <c r="N8" s="24"/>
      <c r="O8" s="2"/>
      <c r="P8" s="2"/>
      <c r="Q8" s="2"/>
      <c r="R8" s="2"/>
      <c r="S8" s="3">
        <v>0</v>
      </c>
      <c r="T8" s="2"/>
      <c r="U8" s="2"/>
      <c r="V8" s="2"/>
      <c r="W8" s="2"/>
      <c r="X8" s="2"/>
      <c r="Y8" s="2"/>
      <c r="Z8" s="2"/>
      <c r="AA8" s="2"/>
      <c r="AB8" s="2"/>
      <c r="AC8" s="8">
        <f t="shared" si="0"/>
        <v>0</v>
      </c>
      <c r="AD8" s="16">
        <f t="shared" si="2"/>
        <v>0</v>
      </c>
    </row>
    <row r="9" spans="1:30">
      <c r="A9" s="3"/>
      <c r="B9" s="23"/>
      <c r="C9" s="2"/>
      <c r="D9" s="2"/>
      <c r="E9" s="2"/>
      <c r="F9" s="2"/>
      <c r="G9" s="2"/>
      <c r="H9" s="2"/>
      <c r="I9" s="2"/>
      <c r="J9" s="2"/>
      <c r="K9" s="24"/>
      <c r="L9" s="24"/>
      <c r="M9" s="24">
        <f t="shared" si="1"/>
        <v>0</v>
      </c>
      <c r="N9" s="24"/>
      <c r="O9" s="2"/>
      <c r="P9" s="2"/>
      <c r="Q9" s="2"/>
      <c r="R9" s="2"/>
      <c r="S9" s="3">
        <v>0</v>
      </c>
      <c r="T9" s="2"/>
      <c r="U9" s="2"/>
      <c r="V9" s="2"/>
      <c r="W9" s="2"/>
      <c r="X9" s="2"/>
      <c r="Y9" s="2"/>
      <c r="Z9" s="2"/>
      <c r="AA9" s="2"/>
      <c r="AB9" s="2"/>
      <c r="AC9" s="8">
        <f t="shared" si="0"/>
        <v>0</v>
      </c>
      <c r="AD9" s="16">
        <f t="shared" si="2"/>
        <v>0</v>
      </c>
    </row>
    <row r="10" spans="1:30">
      <c r="A10" s="3"/>
      <c r="B10" s="23"/>
      <c r="C10" s="2"/>
      <c r="D10" s="2"/>
      <c r="E10" s="2"/>
      <c r="F10" s="2"/>
      <c r="G10" s="2"/>
      <c r="H10" s="2"/>
      <c r="I10" s="2"/>
      <c r="J10" s="2"/>
      <c r="K10" s="24"/>
      <c r="L10" s="24"/>
      <c r="M10" s="24">
        <f t="shared" si="1"/>
        <v>0</v>
      </c>
      <c r="N10" s="24"/>
      <c r="O10" s="2"/>
      <c r="P10" s="2"/>
      <c r="Q10" s="2"/>
      <c r="R10" s="2"/>
      <c r="S10" s="3">
        <v>0</v>
      </c>
      <c r="T10" s="2"/>
      <c r="U10" s="2"/>
      <c r="V10" s="2"/>
      <c r="W10" s="2"/>
      <c r="X10" s="2"/>
      <c r="Y10" s="2"/>
      <c r="Z10" s="2"/>
      <c r="AA10" s="2"/>
      <c r="AB10" s="2"/>
      <c r="AC10" s="8">
        <f t="shared" si="0"/>
        <v>0</v>
      </c>
      <c r="AD10" s="16">
        <f t="shared" si="2"/>
        <v>0</v>
      </c>
    </row>
    <row r="11" spans="1:30">
      <c r="A11" s="3"/>
      <c r="B11" s="23"/>
      <c r="C11" s="2"/>
      <c r="D11" s="2"/>
      <c r="E11" s="2"/>
      <c r="F11" s="2"/>
      <c r="G11" s="2"/>
      <c r="H11" s="2"/>
      <c r="I11" s="2"/>
      <c r="J11" s="2"/>
      <c r="K11" s="24"/>
      <c r="L11" s="24"/>
      <c r="M11" s="24">
        <f t="shared" si="1"/>
        <v>0</v>
      </c>
      <c r="N11" s="24"/>
      <c r="O11" s="2"/>
      <c r="P11" s="2"/>
      <c r="Q11" s="2"/>
      <c r="R11" s="2"/>
      <c r="S11" s="3">
        <v>0</v>
      </c>
      <c r="T11" s="2"/>
      <c r="U11" s="2"/>
      <c r="V11" s="2"/>
      <c r="W11" s="2"/>
      <c r="X11" s="2"/>
      <c r="Y11" s="2"/>
      <c r="Z11" s="2"/>
      <c r="AA11" s="2"/>
      <c r="AB11" s="2"/>
      <c r="AC11" s="8">
        <f t="shared" si="0"/>
        <v>0</v>
      </c>
      <c r="AD11" s="16">
        <f t="shared" si="2"/>
        <v>0</v>
      </c>
    </row>
    <row r="12" spans="1:30">
      <c r="A12" s="3"/>
      <c r="B12" s="23"/>
      <c r="C12" s="2"/>
      <c r="D12" s="2"/>
      <c r="E12" s="2"/>
      <c r="F12" s="2"/>
      <c r="G12" s="2"/>
      <c r="H12" s="2"/>
      <c r="I12" s="2"/>
      <c r="J12" s="2"/>
      <c r="K12" s="24"/>
      <c r="L12" s="24"/>
      <c r="M12" s="24">
        <f t="shared" si="1"/>
        <v>0</v>
      </c>
      <c r="N12" s="24"/>
      <c r="O12" s="2"/>
      <c r="P12" s="2"/>
      <c r="Q12" s="2"/>
      <c r="R12" s="2"/>
      <c r="S12" s="3">
        <v>0</v>
      </c>
      <c r="T12" s="2"/>
      <c r="U12" s="2"/>
      <c r="V12" s="2"/>
      <c r="W12" s="2"/>
      <c r="X12" s="2"/>
      <c r="Y12" s="2"/>
      <c r="Z12" s="2"/>
      <c r="AA12" s="2"/>
      <c r="AB12" s="2"/>
      <c r="AC12" s="8">
        <f t="shared" si="0"/>
        <v>0</v>
      </c>
      <c r="AD12" s="16">
        <f t="shared" si="2"/>
        <v>0</v>
      </c>
    </row>
    <row r="13" spans="1:30">
      <c r="A13" s="3"/>
      <c r="B13" s="23"/>
      <c r="C13" s="2"/>
      <c r="D13" s="2"/>
      <c r="E13" s="2"/>
      <c r="F13" s="2"/>
      <c r="G13" s="2"/>
      <c r="H13" s="2"/>
      <c r="I13" s="2"/>
      <c r="J13" s="2"/>
      <c r="K13" s="24"/>
      <c r="L13" s="24"/>
      <c r="M13" s="24">
        <f t="shared" si="1"/>
        <v>0</v>
      </c>
      <c r="N13" s="24"/>
      <c r="O13" s="2"/>
      <c r="P13" s="2"/>
      <c r="Q13" s="2"/>
      <c r="R13" s="2"/>
      <c r="S13" s="3">
        <v>0</v>
      </c>
      <c r="T13" s="2"/>
      <c r="U13" s="2"/>
      <c r="V13" s="2"/>
      <c r="W13" s="2"/>
      <c r="X13" s="2"/>
      <c r="Y13" s="2"/>
      <c r="Z13" s="2"/>
      <c r="AA13" s="2"/>
      <c r="AB13" s="2"/>
      <c r="AC13" s="8">
        <f t="shared" si="0"/>
        <v>0</v>
      </c>
      <c r="AD13" s="16">
        <f t="shared" si="2"/>
        <v>0</v>
      </c>
    </row>
    <row r="14" spans="1:30">
      <c r="A14" s="3"/>
      <c r="B14" s="23"/>
      <c r="C14" s="2"/>
      <c r="D14" s="2"/>
      <c r="E14" s="2"/>
      <c r="F14" s="2"/>
      <c r="G14" s="2"/>
      <c r="H14" s="2"/>
      <c r="I14" s="2"/>
      <c r="J14" s="2"/>
      <c r="K14" s="24"/>
      <c r="L14" s="24"/>
      <c r="M14" s="24">
        <f t="shared" si="1"/>
        <v>0</v>
      </c>
      <c r="N14" s="24"/>
      <c r="O14" s="2"/>
      <c r="P14" s="2"/>
      <c r="Q14" s="2"/>
      <c r="R14" s="2"/>
      <c r="S14" s="3">
        <v>0</v>
      </c>
      <c r="T14" s="2"/>
      <c r="U14" s="2"/>
      <c r="V14" s="2"/>
      <c r="W14" s="2"/>
      <c r="X14" s="2"/>
      <c r="Y14" s="2"/>
      <c r="Z14" s="2"/>
      <c r="AA14" s="2"/>
      <c r="AB14" s="2"/>
      <c r="AC14" s="8">
        <f t="shared" si="0"/>
        <v>0</v>
      </c>
      <c r="AD14" s="16">
        <f t="shared" si="2"/>
        <v>0</v>
      </c>
    </row>
    <row r="15" spans="1:30">
      <c r="A15" s="3"/>
      <c r="B15" s="23"/>
      <c r="C15" s="2"/>
      <c r="D15" s="2"/>
      <c r="E15" s="2"/>
      <c r="F15" s="2"/>
      <c r="G15" s="2"/>
      <c r="H15" s="2"/>
      <c r="I15" s="2"/>
      <c r="J15" s="2"/>
      <c r="K15" s="24"/>
      <c r="L15" s="24"/>
      <c r="M15" s="24">
        <f t="shared" si="1"/>
        <v>0</v>
      </c>
      <c r="N15" s="24"/>
      <c r="O15" s="2"/>
      <c r="P15" s="2"/>
      <c r="Q15" s="2"/>
      <c r="R15" s="2"/>
      <c r="S15" s="3">
        <v>0</v>
      </c>
      <c r="T15" s="2"/>
      <c r="U15" s="2"/>
      <c r="V15" s="2"/>
      <c r="W15" s="2"/>
      <c r="X15" s="2"/>
      <c r="Y15" s="2"/>
      <c r="Z15" s="2"/>
      <c r="AA15" s="2"/>
      <c r="AB15" s="2"/>
      <c r="AC15" s="8">
        <f t="shared" si="0"/>
        <v>0</v>
      </c>
      <c r="AD15" s="16">
        <f t="shared" si="2"/>
        <v>0</v>
      </c>
    </row>
    <row r="16" spans="1:30" ht="18.75">
      <c r="AC16" s="10" t="s">
        <v>14</v>
      </c>
      <c r="AD16" s="14">
        <f>SUM(AD4:AD15)</f>
        <v>0</v>
      </c>
    </row>
  </sheetData>
  <mergeCells count="1">
    <mergeCell ref="A2:AB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9"/>
  <sheetViews>
    <sheetView view="pageBreakPreview" topLeftCell="D1" zoomScale="115" zoomScaleNormal="100" zoomScaleSheetLayoutView="115" workbookViewId="0">
      <selection activeCell="K13" sqref="K13"/>
    </sheetView>
  </sheetViews>
  <sheetFormatPr defaultRowHeight="15"/>
  <cols>
    <col min="1" max="1" width="12.140625" style="6" customWidth="1"/>
    <col min="2" max="2" width="14.85546875" style="6" customWidth="1"/>
    <col min="3" max="3" width="16.28515625" customWidth="1"/>
    <col min="4" max="4" width="20.85546875" bestFit="1" customWidth="1"/>
    <col min="5" max="5" width="17.42578125" customWidth="1"/>
    <col min="6" max="6" width="25.5703125" customWidth="1"/>
    <col min="7" max="7" width="25" customWidth="1"/>
    <col min="8" max="8" width="20" style="37" customWidth="1"/>
    <col min="9" max="9" width="14" customWidth="1"/>
    <col min="10" max="10" width="11.42578125" customWidth="1"/>
    <col min="11" max="13" width="18.5703125" customWidth="1"/>
    <col min="14" max="14" width="23.85546875" bestFit="1" customWidth="1"/>
    <col min="15" max="15" width="23" customWidth="1"/>
    <col min="16" max="16" width="18.85546875" customWidth="1"/>
    <col min="17" max="17" width="20.140625" customWidth="1"/>
    <col min="18" max="18" width="15.140625" customWidth="1"/>
    <col min="19" max="19" width="26.140625" style="6" customWidth="1"/>
    <col min="20" max="20" width="26.7109375" bestFit="1" customWidth="1"/>
    <col min="21" max="21" width="16.140625" customWidth="1"/>
    <col min="22" max="22" width="19.42578125" customWidth="1"/>
    <col min="23" max="27" width="18.140625" customWidth="1"/>
    <col min="28" max="28" width="20" customWidth="1"/>
    <col min="29" max="29" width="13.85546875" style="6" customWidth="1"/>
    <col min="30" max="30" width="25.28515625" style="6" customWidth="1"/>
    <col min="31" max="31" width="20.7109375" style="60" customWidth="1"/>
    <col min="32" max="32" width="14.28515625" customWidth="1"/>
  </cols>
  <sheetData>
    <row r="1" spans="1:30" ht="33" customHeight="1">
      <c r="A1" s="12" t="s">
        <v>98</v>
      </c>
      <c r="B1" s="12"/>
      <c r="C1" s="1"/>
      <c r="D1" s="1"/>
      <c r="E1" s="1"/>
      <c r="F1" s="1"/>
    </row>
    <row r="2" spans="1:30" ht="23.25">
      <c r="A2" s="68" t="s">
        <v>51</v>
      </c>
      <c r="B2" s="69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1"/>
      <c r="AC2" s="8"/>
      <c r="AD2" s="8"/>
    </row>
    <row r="3" spans="1:30" ht="63.75" customHeight="1">
      <c r="A3" s="5" t="s">
        <v>3</v>
      </c>
      <c r="B3" s="5" t="s">
        <v>17</v>
      </c>
      <c r="C3" s="4" t="s">
        <v>4</v>
      </c>
      <c r="D3" s="4" t="s">
        <v>24</v>
      </c>
      <c r="E3" s="13" t="s">
        <v>52</v>
      </c>
      <c r="F3" s="4" t="s">
        <v>49</v>
      </c>
      <c r="G3" s="4" t="s">
        <v>26</v>
      </c>
      <c r="H3" s="13" t="s">
        <v>28</v>
      </c>
      <c r="I3" s="4" t="s">
        <v>25</v>
      </c>
      <c r="J3" s="13" t="s">
        <v>39</v>
      </c>
      <c r="K3" s="13" t="s">
        <v>53</v>
      </c>
      <c r="L3" s="13" t="s">
        <v>40</v>
      </c>
      <c r="M3" s="13" t="s">
        <v>42</v>
      </c>
      <c r="N3" s="13" t="s">
        <v>90</v>
      </c>
      <c r="O3" s="13" t="s">
        <v>34</v>
      </c>
      <c r="P3" s="13" t="s">
        <v>29</v>
      </c>
      <c r="Q3" s="13" t="s">
        <v>41</v>
      </c>
      <c r="R3" s="50" t="s">
        <v>44</v>
      </c>
      <c r="S3" s="51" t="s">
        <v>58</v>
      </c>
      <c r="T3" s="13" t="s">
        <v>30</v>
      </c>
      <c r="U3" s="4" t="s">
        <v>31</v>
      </c>
      <c r="V3" s="4" t="s">
        <v>32</v>
      </c>
      <c r="W3" s="13" t="s">
        <v>33</v>
      </c>
      <c r="X3" s="13" t="s">
        <v>36</v>
      </c>
      <c r="Y3" s="13" t="s">
        <v>35</v>
      </c>
      <c r="Z3" s="13" t="s">
        <v>37</v>
      </c>
      <c r="AA3" s="13" t="s">
        <v>38</v>
      </c>
      <c r="AB3" s="4" t="s">
        <v>15</v>
      </c>
      <c r="AC3" s="8"/>
      <c r="AD3" s="9" t="s">
        <v>13</v>
      </c>
    </row>
    <row r="4" spans="1:30" ht="101.25" customHeight="1">
      <c r="A4" s="72" t="s">
        <v>48</v>
      </c>
      <c r="B4" s="78" t="s">
        <v>86</v>
      </c>
      <c r="C4" s="2" t="s">
        <v>95</v>
      </c>
      <c r="D4" s="2" t="s">
        <v>55</v>
      </c>
      <c r="E4" s="30" t="s">
        <v>94</v>
      </c>
      <c r="F4" s="39" t="s">
        <v>93</v>
      </c>
      <c r="G4" s="39" t="s">
        <v>93</v>
      </c>
      <c r="H4" s="38" t="s">
        <v>92</v>
      </c>
      <c r="I4" s="41" t="s">
        <v>99</v>
      </c>
      <c r="J4" s="42" t="s">
        <v>59</v>
      </c>
      <c r="K4" s="43">
        <v>24.85</v>
      </c>
      <c r="L4" s="44">
        <f>196.87/24.85</f>
        <v>7.9223340040241448</v>
      </c>
      <c r="M4" s="24">
        <f>K4*L4</f>
        <v>196.87</v>
      </c>
      <c r="N4" s="46" t="s">
        <v>68</v>
      </c>
      <c r="O4" s="36" t="s">
        <v>91</v>
      </c>
      <c r="P4" s="2" t="s">
        <v>55</v>
      </c>
      <c r="Q4" s="2" t="s">
        <v>55</v>
      </c>
      <c r="R4" s="2">
        <f>349/365</f>
        <v>0.95616438356164379</v>
      </c>
      <c r="S4" s="58">
        <f t="shared" ref="S4:S5" si="0">M4*R4</f>
        <v>188.24008219178083</v>
      </c>
      <c r="T4" s="2" t="s">
        <v>55</v>
      </c>
      <c r="U4" s="2" t="s">
        <v>57</v>
      </c>
      <c r="V4" s="36" t="s">
        <v>55</v>
      </c>
      <c r="W4" s="36" t="s">
        <v>55</v>
      </c>
      <c r="X4" s="2" t="s">
        <v>84</v>
      </c>
      <c r="Y4" s="2" t="s">
        <v>55</v>
      </c>
      <c r="Z4" s="2" t="s">
        <v>55</v>
      </c>
      <c r="AA4" s="2" t="s">
        <v>55</v>
      </c>
      <c r="AB4" s="35" t="s">
        <v>101</v>
      </c>
      <c r="AC4" s="65" t="str">
        <f>A4</f>
        <v>C1</v>
      </c>
      <c r="AD4" s="75">
        <f>SUM(S4:S5)</f>
        <v>888.54953424657538</v>
      </c>
    </row>
    <row r="5" spans="1:30" ht="101.25" customHeight="1">
      <c r="A5" s="73"/>
      <c r="B5" s="79"/>
      <c r="C5" s="2" t="s">
        <v>96</v>
      </c>
      <c r="D5" s="2" t="s">
        <v>55</v>
      </c>
      <c r="E5" s="30" t="s">
        <v>94</v>
      </c>
      <c r="F5" s="39" t="s">
        <v>93</v>
      </c>
      <c r="G5" s="39" t="s">
        <v>93</v>
      </c>
      <c r="H5" s="38" t="s">
        <v>92</v>
      </c>
      <c r="I5" s="41" t="s">
        <v>99</v>
      </c>
      <c r="J5" s="42" t="s">
        <v>59</v>
      </c>
      <c r="K5" s="43">
        <v>102</v>
      </c>
      <c r="L5" s="44">
        <f>806.35/102</f>
        <v>7.905392156862745</v>
      </c>
      <c r="M5" s="59">
        <f t="shared" ref="M5" si="1">K5*L5</f>
        <v>806.35</v>
      </c>
      <c r="N5" s="46" t="s">
        <v>69</v>
      </c>
      <c r="O5" s="36" t="s">
        <v>66</v>
      </c>
      <c r="P5" s="2" t="s">
        <v>55</v>
      </c>
      <c r="Q5" s="2" t="s">
        <v>55</v>
      </c>
      <c r="R5" s="40">
        <f>317/365</f>
        <v>0.86849315068493149</v>
      </c>
      <c r="S5" s="58">
        <f t="shared" si="0"/>
        <v>700.30945205479452</v>
      </c>
      <c r="T5" s="2" t="s">
        <v>55</v>
      </c>
      <c r="U5" s="2" t="s">
        <v>57</v>
      </c>
      <c r="V5" s="36" t="s">
        <v>55</v>
      </c>
      <c r="W5" s="36" t="s">
        <v>55</v>
      </c>
      <c r="X5" s="2" t="s">
        <v>84</v>
      </c>
      <c r="Y5" s="2" t="s">
        <v>55</v>
      </c>
      <c r="Z5" s="2" t="s">
        <v>55</v>
      </c>
      <c r="AA5" s="2" t="s">
        <v>55</v>
      </c>
      <c r="AB5" s="35" t="s">
        <v>102</v>
      </c>
      <c r="AC5" s="66"/>
      <c r="AD5" s="76"/>
    </row>
    <row r="6" spans="1:30" ht="45">
      <c r="A6" s="53" t="s">
        <v>65</v>
      </c>
      <c r="B6" s="55" t="s">
        <v>64</v>
      </c>
      <c r="C6" s="2" t="s">
        <v>97</v>
      </c>
      <c r="D6" s="2" t="s">
        <v>55</v>
      </c>
      <c r="E6" s="34" t="s">
        <v>63</v>
      </c>
      <c r="F6" s="30" t="s">
        <v>70</v>
      </c>
      <c r="G6" s="39" t="s">
        <v>93</v>
      </c>
      <c r="H6" s="38" t="s">
        <v>92</v>
      </c>
      <c r="I6" s="41" t="s">
        <v>99</v>
      </c>
      <c r="J6" s="3" t="s">
        <v>56</v>
      </c>
      <c r="K6" s="32">
        <v>60000</v>
      </c>
      <c r="L6" s="45">
        <v>1</v>
      </c>
      <c r="M6" s="24">
        <f>K6*L6</f>
        <v>60000</v>
      </c>
      <c r="N6" s="47" t="s">
        <v>55</v>
      </c>
      <c r="O6" s="2" t="s">
        <v>60</v>
      </c>
      <c r="P6" s="2" t="s">
        <v>55</v>
      </c>
      <c r="Q6" s="2" t="s">
        <v>55</v>
      </c>
      <c r="R6" s="2">
        <v>1</v>
      </c>
      <c r="S6" s="58">
        <f>M6*R6</f>
        <v>60000</v>
      </c>
      <c r="T6" s="2" t="s">
        <v>55</v>
      </c>
      <c r="U6" s="2" t="s">
        <v>57</v>
      </c>
      <c r="V6" s="2" t="s">
        <v>55</v>
      </c>
      <c r="W6" s="2" t="s">
        <v>55</v>
      </c>
      <c r="X6" s="2" t="s">
        <v>54</v>
      </c>
      <c r="Y6" s="2" t="s">
        <v>55</v>
      </c>
      <c r="Z6" s="2" t="s">
        <v>55</v>
      </c>
      <c r="AA6" s="2" t="s">
        <v>55</v>
      </c>
      <c r="AB6" s="2" t="s">
        <v>55</v>
      </c>
      <c r="AC6" s="54" t="str">
        <f>A6</f>
        <v>C2</v>
      </c>
      <c r="AD6" s="57">
        <f>S6</f>
        <v>60000</v>
      </c>
    </row>
    <row r="7" spans="1:30" ht="18.75">
      <c r="AC7" s="10" t="s">
        <v>14</v>
      </c>
      <c r="AD7" s="33">
        <f>SUM(AD4:AD6)</f>
        <v>60888.549534246573</v>
      </c>
    </row>
    <row r="9" spans="1:30">
      <c r="AD9" s="49"/>
    </row>
  </sheetData>
  <autoFilter ref="A1:AD6"/>
  <mergeCells count="5">
    <mergeCell ref="A2:AB2"/>
    <mergeCell ref="A4:A5"/>
    <mergeCell ref="AC4:AC5"/>
    <mergeCell ref="B4:B5"/>
    <mergeCell ref="AD4:AD5"/>
  </mergeCells>
  <phoneticPr fontId="1" type="noConversion"/>
  <pageMargins left="0.70866141732283472" right="0.70866141732283472" top="0.74803149606299213" bottom="0.74803149606299213" header="0.31496062992125984" footer="0.31496062992125984"/>
  <pageSetup paperSize="8" scale="33" orientation="landscape" cellComments="asDisplayed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AC14696B9334B8107905EF8DA8D2B" ma:contentTypeVersion="17" ma:contentTypeDescription="Create a new document." ma:contentTypeScope="" ma:versionID="a43e1965f9a47b4b8ee3118e018f591a">
  <xsd:schema xmlns:xsd="http://www.w3.org/2001/XMLSchema" xmlns:xs="http://www.w3.org/2001/XMLSchema" xmlns:p="http://schemas.microsoft.com/office/2006/metadata/properties" xmlns:ns2="19187dac-df12-4571-8d4c-1f93d22bc1fc" xmlns:ns3="5a7eadf7-2b1c-4a5a-97a9-adafd1c04f06" targetNamespace="http://schemas.microsoft.com/office/2006/metadata/properties" ma:root="true" ma:fieldsID="fc59c139a7c0c156c09cd4852425cd1b" ns2:_="" ns3:_="">
    <xsd:import namespace="19187dac-df12-4571-8d4c-1f93d22bc1fc"/>
    <xsd:import namespace="5a7eadf7-2b1c-4a5a-97a9-adafd1c04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SearchProperties" minOccurs="0"/>
                <xsd:element ref="ns2:Test_o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87dac-df12-4571-8d4c-1f93d22bc1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est_option" ma:index="23" nillable="true" ma:displayName="MigrateToMediaLibrary" ma:format="RadioButtons" ma:internalName="Test_option">
      <xsd:simpleType>
        <xsd:restriction base="dms:Choice">
          <xsd:enumeration value="Yes"/>
          <xsd:enumeration value="No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7eadf7-2b1c-4a5a-97a9-adafd1c04f0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cfd4bd6-b3ca-458a-bb10-6406bf24d382}" ma:internalName="TaxCatchAll" ma:showField="CatchAllData" ma:web="5a7eadf7-2b1c-4a5a-97a9-adafd1c04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a7eadf7-2b1c-4a5a-97a9-adafd1c04f06" xsi:nil="true"/>
    <Test_option xmlns="19187dac-df12-4571-8d4c-1f93d22bc1fc" xsi:nil="true"/>
    <lcf76f155ced4ddcb4097134ff3c332f xmlns="19187dac-df12-4571-8d4c-1f93d22bc1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C8FB3F-8884-4C46-9094-7341B2796F7F}"/>
</file>

<file path=customXml/itemProps2.xml><?xml version="1.0" encoding="utf-8"?>
<ds:datastoreItem xmlns:ds="http://schemas.openxmlformats.org/officeDocument/2006/customXml" ds:itemID="{D0A976D0-1E91-4ED1-9147-D5CF9B32567D}"/>
</file>

<file path=customXml/itemProps3.xml><?xml version="1.0" encoding="utf-8"?>
<ds:datastoreItem xmlns:ds="http://schemas.openxmlformats.org/officeDocument/2006/customXml" ds:itemID="{85A65BE5-DF7E-4088-A621-E1128C7C7F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- Manpower </vt:lpstr>
      <vt:lpstr>B - Equipment </vt:lpstr>
      <vt:lpstr>C - Other Direct Costs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ktouser</dc:creator>
  <cp:lastModifiedBy>Hong Kong Baptist University</cp:lastModifiedBy>
  <cp:lastPrinted>2021-03-31T09:22:28Z</cp:lastPrinted>
  <dcterms:created xsi:type="dcterms:W3CDTF">2017-09-14T06:47:55Z</dcterms:created>
  <dcterms:modified xsi:type="dcterms:W3CDTF">2021-03-31T10:26:10Z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0x010100570AC14696B9334B8107905EF8DA8D2B</vt:lpwstr>
  </property>
</Properties>
</file>