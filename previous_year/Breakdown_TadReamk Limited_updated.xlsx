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buhk.sharepoint.com/sites/STF_KTO/Shared Documents/General/KTODRIVE/FD-Funding/TSSSU+ and TSSSU-O/2024-25/Final Report to ITC/TadReamk Limited/"/>
    </mc:Choice>
  </mc:AlternateContent>
  <xr:revisionPtr revIDLastSave="404" documentId="11_2257C8465B64D46C23E316A06A58B6E65F968088" xr6:coauthVersionLast="47" xr6:coauthVersionMax="47" xr10:uidLastSave="{B783CAAE-CA3E-4396-906D-F098CB9621D4}"/>
  <bookViews>
    <workbookView xWindow="-19305" yWindow="-1440" windowWidth="19410" windowHeight="20985" xr2:uid="{00000000-000D-0000-FFFF-FFFF00000000}"/>
  </bookViews>
  <sheets>
    <sheet name="A - Manpower " sheetId="1" r:id="rId1"/>
    <sheet name="B - Equipment " sheetId="4" r:id="rId2"/>
    <sheet name="C - Other Direct Costs " sheetId="5" r:id="rId3"/>
  </sheets>
  <definedNames>
    <definedName name="_xlnm._FilterDatabase" localSheetId="2" hidden="1">'C - Other Direct Costs '!$A$1:$AD$11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" l="1"/>
  <c r="P36" i="1"/>
  <c r="P30" i="1"/>
  <c r="P18" i="1"/>
  <c r="P16" i="1"/>
  <c r="P4" i="1"/>
  <c r="AD12" i="5"/>
  <c r="AD5" i="5"/>
  <c r="AD4" i="5"/>
  <c r="I44" i="1" l="1"/>
  <c r="I45" i="1"/>
  <c r="I46" i="1"/>
  <c r="I47" i="1"/>
  <c r="I43" i="1"/>
  <c r="I40" i="1"/>
  <c r="I41" i="1"/>
  <c r="I42" i="1"/>
  <c r="I39" i="1"/>
  <c r="I38" i="1"/>
  <c r="I37" i="1"/>
  <c r="I36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O18" i="1"/>
  <c r="I18" i="1"/>
  <c r="I17" i="1"/>
  <c r="I16" i="1"/>
  <c r="I5" i="1"/>
  <c r="I6" i="1"/>
  <c r="I7" i="1"/>
  <c r="I8" i="1"/>
  <c r="I9" i="1"/>
  <c r="I10" i="1"/>
  <c r="I11" i="1"/>
  <c r="I12" i="1"/>
  <c r="I13" i="1"/>
  <c r="I14" i="1"/>
  <c r="I15" i="1"/>
  <c r="I4" i="1"/>
  <c r="P32" i="1" l="1"/>
  <c r="M6" i="5" l="1"/>
  <c r="M11" i="5" l="1"/>
  <c r="S11" i="5" s="1"/>
  <c r="AD11" i="5" s="1"/>
  <c r="AC11" i="5"/>
  <c r="AD6" i="5" l="1"/>
  <c r="AC6" i="5" l="1"/>
  <c r="AD5" i="4"/>
  <c r="AD4" i="4"/>
  <c r="AC4" i="4"/>
  <c r="O4" i="1"/>
  <c r="AD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Kong Baptist University</author>
  </authors>
  <commentList>
    <comment ref="L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Exchange rate may refer to credit card statement</t>
        </r>
      </text>
    </comment>
    <comment ref="R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Refer to the service period in calculation: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=349/365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<sst xmlns="http://schemas.openxmlformats.org/spreadsheetml/2006/main" count="408" uniqueCount="179">
  <si>
    <t>Company Name : TadReamk Limited</t>
  </si>
  <si>
    <t>A - Manpower</t>
    <phoneticPr fontId="2" type="noConversion"/>
  </si>
  <si>
    <t>Category</t>
    <phoneticPr fontId="2" type="noConversion"/>
  </si>
  <si>
    <t>Item name</t>
    <phoneticPr fontId="2" type="noConversion"/>
  </si>
  <si>
    <t>Your Ref no.</t>
    <phoneticPr fontId="2" type="noConversion"/>
  </si>
  <si>
    <t>Salary Month</t>
    <phoneticPr fontId="2" type="noConversion"/>
  </si>
  <si>
    <t>Service period</t>
    <phoneticPr fontId="2" type="noConversion"/>
  </si>
  <si>
    <t>Employee Name</t>
    <phoneticPr fontId="2" type="noConversion"/>
  </si>
  <si>
    <t>Cheque Date</t>
    <phoneticPr fontId="2" type="noConversion"/>
  </si>
  <si>
    <t>Cheque no.</t>
    <phoneticPr fontId="2" type="noConversion"/>
  </si>
  <si>
    <t>Cheque Amount (HKD)</t>
    <phoneticPr fontId="2" type="noConversion"/>
  </si>
  <si>
    <t>Basic Salary (HKD)</t>
    <phoneticPr fontId="2" type="noConversion"/>
  </si>
  <si>
    <t xml:space="preserve">MPF (HKD) </t>
    <phoneticPr fontId="2" type="noConversion"/>
  </si>
  <si>
    <t>Acknowledge receipt</t>
    <phoneticPr fontId="2" type="noConversion"/>
  </si>
  <si>
    <t>Cheque Receiving date</t>
    <phoneticPr fontId="2" type="noConversion"/>
  </si>
  <si>
    <t>Remarks</t>
    <phoneticPr fontId="2" type="noConversion"/>
  </si>
  <si>
    <t>Total Amount</t>
    <phoneticPr fontId="2" type="noConversion"/>
  </si>
  <si>
    <t>A1</t>
    <phoneticPr fontId="2" type="noConversion"/>
  </si>
  <si>
    <t xml:space="preserve">Full stack developer </t>
  </si>
  <si>
    <t>A1-1</t>
  </si>
  <si>
    <t>Apr 1,2024 - Apr 30,2024</t>
  </si>
  <si>
    <t>SUN, Xiaoyuan</t>
  </si>
  <si>
    <t>Yes</t>
  </si>
  <si>
    <t>A1-2</t>
  </si>
  <si>
    <t>May 1,2024 - May 31,2024</t>
  </si>
  <si>
    <t>A1-3</t>
  </si>
  <si>
    <t>Jun 1,2024 - Jun 30,2024</t>
  </si>
  <si>
    <t>A1-4</t>
  </si>
  <si>
    <t>Jul 1,2024 - Jul 31,2024</t>
  </si>
  <si>
    <t>A1-5</t>
  </si>
  <si>
    <t>Aug 1, 2024-Aug 31, 2024</t>
  </si>
  <si>
    <t>A1-6</t>
  </si>
  <si>
    <t>Sep 1, 2024 - Sep 30. 2024</t>
  </si>
  <si>
    <t>A1-7</t>
  </si>
  <si>
    <t>Oct 1, 2024 - Oct 31, 2024</t>
  </si>
  <si>
    <t>A1-8</t>
  </si>
  <si>
    <t>Nov 1 2024 - Nov 30, 2024</t>
  </si>
  <si>
    <t>A1-9</t>
  </si>
  <si>
    <t>Dec 1, 2024 - Dec 31, 2024</t>
  </si>
  <si>
    <t>A1-10</t>
  </si>
  <si>
    <t>Jan 1, 2025 - Jan 31, 2025</t>
  </si>
  <si>
    <t>A1-11</t>
  </si>
  <si>
    <t>Feb 1, 2025 - Feb 28, 2025</t>
  </si>
  <si>
    <t>A1-12</t>
  </si>
  <si>
    <t>Mar 1, 2025 - Mar 31, 2025</t>
  </si>
  <si>
    <t>A3</t>
  </si>
  <si>
    <t>Senior Researcher</t>
  </si>
  <si>
    <t>A3-1</t>
  </si>
  <si>
    <t>NGUYEN HUU, Thanh</t>
  </si>
  <si>
    <t>A2</t>
  </si>
  <si>
    <t>A3-2</t>
  </si>
  <si>
    <t>Part-time Business Development Manager</t>
  </si>
  <si>
    <t>A2-1</t>
  </si>
  <si>
    <t>CHAN, Lai Kiu</t>
  </si>
  <si>
    <t>A2-2</t>
  </si>
  <si>
    <t>A2-3</t>
  </si>
  <si>
    <t>A2-4</t>
  </si>
  <si>
    <t>A2-5</t>
  </si>
  <si>
    <t>A2-6</t>
  </si>
  <si>
    <t>A2-7</t>
  </si>
  <si>
    <t>A2-8</t>
  </si>
  <si>
    <t>A2-9</t>
  </si>
  <si>
    <t>A2-10</t>
  </si>
  <si>
    <t>A2-11</t>
  </si>
  <si>
    <t>A2-12</t>
  </si>
  <si>
    <t>A4</t>
  </si>
  <si>
    <t>Business Developer</t>
  </si>
  <si>
    <t>A4-1</t>
  </si>
  <si>
    <t>SUN, Cheng</t>
  </si>
  <si>
    <t>A4-2</t>
  </si>
  <si>
    <t>A4-3</t>
  </si>
  <si>
    <t>A4-4</t>
  </si>
  <si>
    <t>A5</t>
  </si>
  <si>
    <t>MPF</t>
    <phoneticPr fontId="2" type="noConversion"/>
  </si>
  <si>
    <t>僱主供款</t>
    <phoneticPr fontId="2" type="noConversion"/>
  </si>
  <si>
    <t>Statement Month</t>
    <phoneticPr fontId="2" type="noConversion"/>
  </si>
  <si>
    <t>Amount (HKD)</t>
    <phoneticPr fontId="2" type="noConversion"/>
  </si>
  <si>
    <t>Total amount</t>
    <phoneticPr fontId="2" type="noConversion"/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</si>
  <si>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</si>
  <si>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</si>
  <si>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</si>
  <si>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</si>
  <si>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</si>
  <si>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</si>
  <si>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</si>
  <si>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</si>
  <si>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</si>
  <si>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</si>
  <si>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</si>
  <si>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</si>
  <si>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Sub-total</t>
    <phoneticPr fontId="2" type="noConversion"/>
  </si>
  <si>
    <t>Company Name :TadReamk Limited</t>
  </si>
  <si>
    <t>B - Equipment</t>
    <phoneticPr fontId="2" type="noConversion"/>
  </si>
  <si>
    <t>Quotation Ref</t>
    <phoneticPr fontId="2" type="noConversion"/>
  </si>
  <si>
    <t>Vendor name</t>
    <phoneticPr fontId="2" type="noConversion"/>
  </si>
  <si>
    <t>Description</t>
    <phoneticPr fontId="2" type="noConversion"/>
  </si>
  <si>
    <t>Official Invoice no.</t>
    <phoneticPr fontId="2" type="noConversion"/>
  </si>
  <si>
    <t>Invoice 抬頭</t>
    <phoneticPr fontId="2" type="noConversion"/>
  </si>
  <si>
    <t>Invoice date</t>
    <phoneticPr fontId="2" type="noConversion"/>
  </si>
  <si>
    <t>Invoice currency</t>
    <phoneticPr fontId="2" type="noConversion"/>
  </si>
  <si>
    <t>Invoice Amount</t>
    <phoneticPr fontId="2" type="noConversion"/>
  </si>
  <si>
    <t>Exchange rate</t>
    <phoneticPr fontId="2" type="noConversion"/>
  </si>
  <si>
    <t>Equivalent to HKD</t>
    <phoneticPr fontId="2" type="noConversion"/>
  </si>
  <si>
    <t>Service Period / 
Travel Period</t>
    <phoneticPr fontId="2" type="noConversion"/>
  </si>
  <si>
    <t>Payment method (cheque/cash/支付宝/VISA….)</t>
    <phoneticPr fontId="2" type="noConversion"/>
  </si>
  <si>
    <t>Cheque / 支付宝….. ref no.</t>
    <phoneticPr fontId="2" type="noConversion"/>
  </si>
  <si>
    <t>Bank statement / Payment receipt</t>
    <phoneticPr fontId="2" type="noConversion"/>
  </si>
  <si>
    <t>Pro-rata ?</t>
    <phoneticPr fontId="2" type="noConversion"/>
  </si>
  <si>
    <r>
      <t>Payment Amount (HKD)
for</t>
    </r>
    <r>
      <rPr>
        <b/>
        <sz val="12"/>
        <color rgb="FFFF0000"/>
        <rFont val="Calibri"/>
        <family val="1"/>
        <charset val="136"/>
        <scheme val="minor"/>
      </rPr>
      <t xml:space="preserve"> TSSSU</t>
    </r>
    <phoneticPr fontId="2" type="noConversion"/>
  </si>
  <si>
    <t>Official Receipt / Acknowledge receipt</t>
    <phoneticPr fontId="2" type="noConversion"/>
  </si>
  <si>
    <t>交易狀態</t>
    <phoneticPr fontId="2" type="noConversion"/>
  </si>
  <si>
    <t>Delivery Date</t>
    <phoneticPr fontId="2" type="noConversion"/>
  </si>
  <si>
    <t>貨品簽收 / 送貨單</t>
    <phoneticPr fontId="2" type="noConversion"/>
  </si>
  <si>
    <t>Staff name for reimbursement</t>
    <phoneticPr fontId="2" type="noConversion"/>
  </si>
  <si>
    <t>Claim cheque no.</t>
    <phoneticPr fontId="2" type="noConversion"/>
  </si>
  <si>
    <t>Claim cheque date</t>
    <phoneticPr fontId="2" type="noConversion"/>
  </si>
  <si>
    <t>Claim cheque - acknowledge receipt</t>
    <phoneticPr fontId="2" type="noConversion"/>
  </si>
  <si>
    <t>B1</t>
  </si>
  <si>
    <t>Laptop for marketing</t>
  </si>
  <si>
    <t>B1-1</t>
  </si>
  <si>
    <t>N/A</t>
    <phoneticPr fontId="2" type="noConversion"/>
  </si>
  <si>
    <t>Apple Shop</t>
  </si>
  <si>
    <t>14-inch Macbook Pro</t>
  </si>
  <si>
    <t>HKD</t>
  </si>
  <si>
    <t>Payment Receipt</t>
  </si>
  <si>
    <t>B1-2</t>
  </si>
  <si>
    <t>MAC MINI/8C CPU/10C GPU</t>
  </si>
  <si>
    <r>
      <t xml:space="preserve">Company Name : </t>
    </r>
    <r>
      <rPr>
        <b/>
        <sz val="16"/>
        <color rgb="FFFF0000"/>
        <rFont val="Calibri"/>
        <family val="2"/>
        <scheme val="minor"/>
      </rPr>
      <t>TadReamk Limited</t>
    </r>
  </si>
  <si>
    <t>C - Other Direct Costs</t>
    <phoneticPr fontId="2" type="noConversion"/>
  </si>
  <si>
    <t>Vendor name / Contract content</t>
    <phoneticPr fontId="2" type="noConversion"/>
  </si>
  <si>
    <t>Invoice Amount / Contract amount</t>
    <phoneticPr fontId="2" type="noConversion"/>
  </si>
  <si>
    <t>Service Period / 
Travel Period</t>
  </si>
  <si>
    <t>Payment Amount (HKD)
for TSSSU</t>
    <phoneticPr fontId="2" type="noConversion"/>
  </si>
  <si>
    <t>C1</t>
  </si>
  <si>
    <t>Company Running Cost</t>
  </si>
  <si>
    <t>C1-1</t>
  </si>
  <si>
    <t>Notion</t>
  </si>
  <si>
    <t>Recurring Plan</t>
  </si>
  <si>
    <t>USD</t>
  </si>
  <si>
    <t>29/4/2024-29/4/2025</t>
  </si>
  <si>
    <t>Payment receipt</t>
  </si>
  <si>
    <t>Finished</t>
    <phoneticPr fontId="2" type="noConversion"/>
  </si>
  <si>
    <t>Bank transfer to employee</t>
  </si>
  <si>
    <t>C2</t>
  </si>
  <si>
    <t>Mandatory Insurance for emloyee</t>
  </si>
  <si>
    <t>C2-1</t>
  </si>
  <si>
    <t>Loyal Insurance Consultants Limited</t>
  </si>
  <si>
    <t>Insurance Renewal - Multicover</t>
  </si>
  <si>
    <t>21/7/2024-20/7/2025</t>
  </si>
  <si>
    <t xml:space="preserve">Bank statement </t>
  </si>
  <si>
    <t>N/A</t>
  </si>
  <si>
    <t>C3</t>
  </si>
  <si>
    <t>Marketing and Promotion</t>
  </si>
  <si>
    <t>C3-1</t>
  </si>
  <si>
    <t>-</t>
    <phoneticPr fontId="2" type="noConversion"/>
  </si>
  <si>
    <t>Ms Tran Hoang Gia Linh</t>
  </si>
  <si>
    <t>Contractor Services for Research Services</t>
  </si>
  <si>
    <t>1/8/2024-31/3/2025</t>
  </si>
  <si>
    <t>Bank statement</t>
  </si>
  <si>
    <t>C3-2</t>
  </si>
  <si>
    <t>Mr GAO, Hang</t>
  </si>
  <si>
    <t>Contractor Services for Website Development</t>
  </si>
  <si>
    <t>RMB</t>
  </si>
  <si>
    <t>5/8/2024-19/8/2024</t>
  </si>
  <si>
    <t>C3-3</t>
  </si>
  <si>
    <t>杭州点萤文化傳播有限公司</t>
  </si>
  <si>
    <t>Website Design Services</t>
  </si>
  <si>
    <t>C3-4</t>
  </si>
  <si>
    <t>C3-5</t>
  </si>
  <si>
    <t>Amazon</t>
  </si>
  <si>
    <t>Web services</t>
  </si>
  <si>
    <t>1/5/2024-31/5/2024</t>
  </si>
  <si>
    <t>C4</t>
  </si>
  <si>
    <t>Exhibition</t>
  </si>
  <si>
    <t>C4-1</t>
  </si>
  <si>
    <t>HKTDC</t>
  </si>
  <si>
    <t>BIP Asia</t>
  </si>
  <si>
    <t>HKD</t>
    <phoneticPr fontId="2" type="noConversion"/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</si>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</sst>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0.00000_);[Red]\(0.00000\)"/>
    <numFmt numFmtId="166" formatCode="[$-13C09]d\ mmm\ yyyy;@"/>
  </numFmts>
  <fonts count="23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4"/>
      <color theme="1"/>
      <name val="Calibri"/>
      <family val="2"/>
      <charset val="136"/>
      <scheme val="minor"/>
    </font>
    <font>
      <sz val="18"/>
      <color theme="1"/>
      <name val="Calibri"/>
      <family val="2"/>
      <charset val="136"/>
      <scheme val="minor"/>
    </font>
    <font>
      <sz val="18"/>
      <color theme="1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mbria"/>
      <family val="1"/>
      <charset val="136"/>
      <scheme val="major"/>
    </font>
    <font>
      <sz val="11"/>
      <name val="Calibri"/>
      <family val="1"/>
      <charset val="136"/>
      <scheme val="minor"/>
    </font>
    <font>
      <sz val="11"/>
      <name val="Calibri"/>
      <family val="2"/>
      <charset val="136"/>
      <scheme val="minor"/>
    </font>
    <font>
      <b/>
      <sz val="12"/>
      <name val="Calibri"/>
      <family val="1"/>
      <charset val="136"/>
      <scheme val="minor"/>
    </font>
    <font>
      <sz val="11"/>
      <color rgb="FFFF0000"/>
      <name val="Calibri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64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/>
  </cellStyleXfs>
  <cellXfs count="119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0" fillId="2" borderId="7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2" fontId="0" fillId="0" borderId="1" xfId="0" applyNumberFormat="1" applyBorder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5" xfId="0" applyFont="1" applyFill="1" applyBorder="1">
      <alignment vertical="center"/>
    </xf>
    <xf numFmtId="0" fontId="0" fillId="5" borderId="6" xfId="0" applyFill="1" applyBorder="1">
      <alignment vertical="center"/>
    </xf>
    <xf numFmtId="17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64" fontId="0" fillId="0" borderId="1" xfId="1" applyFont="1" applyBorder="1">
      <alignment vertical="center"/>
    </xf>
    <xf numFmtId="164" fontId="3" fillId="3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14" fontId="13" fillId="0" borderId="1" xfId="0" applyNumberFormat="1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164" fontId="12" fillId="0" borderId="1" xfId="1" applyFont="1" applyBorder="1">
      <alignment vertical="center"/>
    </xf>
    <xf numFmtId="165" fontId="12" fillId="0" borderId="1" xfId="0" applyNumberFormat="1" applyFont="1" applyBorder="1">
      <alignment vertical="center"/>
    </xf>
    <xf numFmtId="165" fontId="0" fillId="0" borderId="1" xfId="0" applyNumberFormat="1" applyBorder="1">
      <alignment vertical="center"/>
    </xf>
    <xf numFmtId="166" fontId="12" fillId="0" borderId="1" xfId="0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13" fillId="0" borderId="1" xfId="0" applyNumberFormat="1" applyFont="1" applyBorder="1">
      <alignment vertical="center"/>
    </xf>
    <xf numFmtId="0" fontId="15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7" fontId="0" fillId="0" borderId="5" xfId="0" applyNumberFormat="1" applyBorder="1">
      <alignment vertical="center"/>
    </xf>
    <xf numFmtId="0" fontId="0" fillId="0" borderId="5" xfId="0" applyBorder="1" applyAlignment="1">
      <alignment horizontal="right" vertical="center"/>
    </xf>
    <xf numFmtId="0" fontId="12" fillId="0" borderId="5" xfId="0" applyFont="1" applyBorder="1" applyAlignment="1">
      <alignment vertical="center" wrapText="1"/>
    </xf>
    <xf numFmtId="0" fontId="8" fillId="5" borderId="6" xfId="0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6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20" fillId="0" borderId="5" xfId="0" applyFont="1" applyBorder="1" applyAlignment="1">
      <alignment horizontal="center" vertical="center" wrapText="1"/>
    </xf>
    <xf numFmtId="14" fontId="20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right" vertical="center"/>
    </xf>
    <xf numFmtId="0" fontId="19" fillId="0" borderId="5" xfId="0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19" fillId="0" borderId="8" xfId="0" applyFont="1" applyBorder="1" applyAlignment="1">
      <alignment horizontal="left" vertical="center" wrapText="1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>
      <alignment vertical="center"/>
    </xf>
    <xf numFmtId="0" fontId="19" fillId="0" borderId="1" xfId="0" applyFont="1" applyBorder="1">
      <alignment vertical="center"/>
    </xf>
    <xf numFmtId="3" fontId="19" fillId="0" borderId="5" xfId="0" applyNumberFormat="1" applyFont="1" applyBorder="1" applyAlignment="1">
      <alignment horizontal="center" vertical="center"/>
    </xf>
    <xf numFmtId="3" fontId="19" fillId="0" borderId="5" xfId="0" applyNumberFormat="1" applyFont="1" applyBorder="1">
      <alignment vertical="center"/>
    </xf>
    <xf numFmtId="0" fontId="19" fillId="0" borderId="5" xfId="0" applyFont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44" fontId="3" fillId="3" borderId="1" xfId="2" applyFont="1" applyFill="1" applyBorder="1" applyAlignment="1">
      <alignment horizontal="center" vertical="center"/>
    </xf>
    <xf numFmtId="44" fontId="3" fillId="2" borderId="1" xfId="2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4" fontId="3" fillId="2" borderId="6" xfId="1" applyFont="1" applyFill="1" applyBorder="1" applyAlignment="1">
      <alignment horizontal="center" vertical="center"/>
    </xf>
    <xf numFmtId="164" fontId="3" fillId="2" borderId="7" xfId="1" applyFont="1" applyFill="1" applyBorder="1" applyAlignment="1">
      <alignment horizontal="center" vertical="center"/>
    </xf>
    <xf numFmtId="44" fontId="3" fillId="2" borderId="5" xfId="2" applyFont="1" applyFill="1" applyBorder="1" applyAlignment="1">
      <alignment horizontal="center" vertical="center"/>
    </xf>
    <xf numFmtId="44" fontId="3" fillId="2" borderId="6" xfId="2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"/>
  <sheetViews>
    <sheetView tabSelected="1" view="pageBreakPreview" topLeftCell="F14" zoomScale="80" zoomScaleNormal="115" zoomScaleSheetLayoutView="80" workbookViewId="0">
      <selection activeCell="P49" sqref="P49"/>
    </sheetView>
  </sheetViews>
  <sheetFormatPr defaultRowHeight="14.5"/>
  <cols>
    <col min="1" max="1" width="12.1796875" style="6" customWidth="1"/>
    <col min="2" max="2" width="14.81640625" style="6" customWidth="1"/>
    <col min="3" max="5" width="16.26953125" customWidth="1"/>
    <col min="6" max="6" width="26.453125" customWidth="1"/>
    <col min="7" max="7" width="15.1796875" customWidth="1"/>
    <col min="8" max="8" width="15.54296875" customWidth="1"/>
    <col min="9" max="9" width="26.1796875" style="6" customWidth="1"/>
    <col min="10" max="10" width="22.26953125" customWidth="1"/>
    <col min="11" max="11" width="16.1796875" customWidth="1"/>
    <col min="12" max="12" width="25.26953125" customWidth="1"/>
    <col min="13" max="13" width="18.1796875" customWidth="1"/>
    <col min="14" max="14" width="22.1796875" customWidth="1"/>
    <col min="15" max="15" width="13.81640625" customWidth="1"/>
    <col min="16" max="16" width="25.453125" style="6" customWidth="1"/>
    <col min="17" max="17" width="9.1796875" customWidth="1"/>
  </cols>
  <sheetData>
    <row r="1" spans="1:16" ht="33" customHeight="1">
      <c r="A1" s="12" t="s">
        <v>0</v>
      </c>
      <c r="B1" s="12"/>
      <c r="C1" s="1"/>
      <c r="D1" s="1"/>
      <c r="E1" s="1"/>
    </row>
    <row r="2" spans="1:16" ht="23.5">
      <c r="A2" s="89" t="s">
        <v>1</v>
      </c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2"/>
      <c r="O2" s="7"/>
      <c r="P2" s="8"/>
    </row>
    <row r="3" spans="1:16" ht="47.25" customHeight="1">
      <c r="A3" s="5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13" t="s">
        <v>14</v>
      </c>
      <c r="N3" s="4" t="s">
        <v>15</v>
      </c>
      <c r="O3" s="7"/>
      <c r="P3" s="9" t="s">
        <v>16</v>
      </c>
    </row>
    <row r="4" spans="1:16" ht="29">
      <c r="A4" s="93" t="s">
        <v>17</v>
      </c>
      <c r="B4" s="99" t="s">
        <v>18</v>
      </c>
      <c r="C4" s="2" t="s">
        <v>19</v>
      </c>
      <c r="D4" s="25">
        <v>45383</v>
      </c>
      <c r="E4" s="26" t="s">
        <v>20</v>
      </c>
      <c r="F4" s="74" t="s">
        <v>21</v>
      </c>
      <c r="G4" s="75"/>
      <c r="H4" s="75"/>
      <c r="I4" s="77">
        <f>J4-K4</f>
        <v>20643.5</v>
      </c>
      <c r="J4" s="78">
        <v>21730</v>
      </c>
      <c r="K4" s="79">
        <v>1086.5</v>
      </c>
      <c r="L4" s="2" t="s">
        <v>22</v>
      </c>
      <c r="M4" s="13"/>
      <c r="N4" s="4"/>
      <c r="O4" s="112" t="str">
        <f>A4</f>
        <v>A1</v>
      </c>
      <c r="P4" s="96">
        <f>SUM($I$4:$I$15)+SUM($K$4:$K$15)</f>
        <v>260760</v>
      </c>
    </row>
    <row r="5" spans="1:16" ht="29">
      <c r="A5" s="94"/>
      <c r="B5" s="100"/>
      <c r="C5" s="2" t="s">
        <v>23</v>
      </c>
      <c r="D5" s="25">
        <v>45413</v>
      </c>
      <c r="E5" s="26" t="s">
        <v>24</v>
      </c>
      <c r="F5" s="74" t="s">
        <v>21</v>
      </c>
      <c r="G5" s="75"/>
      <c r="H5" s="75"/>
      <c r="I5" s="77">
        <f t="shared" ref="I5:I17" si="0">J5-K5</f>
        <v>20643.5</v>
      </c>
      <c r="J5" s="78">
        <v>21730</v>
      </c>
      <c r="K5" s="79">
        <v>1086.5</v>
      </c>
      <c r="L5" s="2" t="s">
        <v>22</v>
      </c>
      <c r="M5" s="13"/>
      <c r="N5" s="4"/>
      <c r="O5" s="113"/>
      <c r="P5" s="97"/>
    </row>
    <row r="6" spans="1:16" ht="29">
      <c r="A6" s="94"/>
      <c r="B6" s="100"/>
      <c r="C6" s="2" t="s">
        <v>25</v>
      </c>
      <c r="D6" s="25">
        <v>45444</v>
      </c>
      <c r="E6" s="26" t="s">
        <v>26</v>
      </c>
      <c r="F6" s="74" t="s">
        <v>21</v>
      </c>
      <c r="G6" s="75"/>
      <c r="H6" s="75"/>
      <c r="I6" s="77">
        <f t="shared" si="0"/>
        <v>20643.5</v>
      </c>
      <c r="J6" s="78">
        <v>21730</v>
      </c>
      <c r="K6" s="79">
        <v>1086.5</v>
      </c>
      <c r="L6" s="2" t="s">
        <v>22</v>
      </c>
      <c r="M6" s="13"/>
      <c r="N6" s="4"/>
      <c r="O6" s="113"/>
      <c r="P6" s="97"/>
    </row>
    <row r="7" spans="1:16" ht="29">
      <c r="A7" s="94"/>
      <c r="B7" s="100"/>
      <c r="C7" s="2" t="s">
        <v>27</v>
      </c>
      <c r="D7" s="25">
        <v>45474</v>
      </c>
      <c r="E7" s="26" t="s">
        <v>28</v>
      </c>
      <c r="F7" s="74" t="s">
        <v>21</v>
      </c>
      <c r="G7" s="75"/>
      <c r="H7" s="75"/>
      <c r="I7" s="77">
        <f t="shared" si="0"/>
        <v>20643.5</v>
      </c>
      <c r="J7" s="78">
        <v>21730</v>
      </c>
      <c r="K7" s="79">
        <v>1086.5</v>
      </c>
      <c r="L7" s="2" t="s">
        <v>22</v>
      </c>
      <c r="M7" s="13"/>
      <c r="N7" s="4"/>
      <c r="O7" s="113"/>
      <c r="P7" s="97"/>
    </row>
    <row r="8" spans="1:16" ht="29">
      <c r="A8" s="94"/>
      <c r="B8" s="100"/>
      <c r="C8" s="2" t="s">
        <v>29</v>
      </c>
      <c r="D8" s="25">
        <v>45505</v>
      </c>
      <c r="E8" s="26" t="s">
        <v>30</v>
      </c>
      <c r="F8" s="74" t="s">
        <v>21</v>
      </c>
      <c r="G8" s="75"/>
      <c r="H8" s="75"/>
      <c r="I8" s="77">
        <f t="shared" si="0"/>
        <v>20643.5</v>
      </c>
      <c r="J8" s="78">
        <v>21730</v>
      </c>
      <c r="K8" s="79">
        <v>1086.5</v>
      </c>
      <c r="L8" s="2" t="s">
        <v>22</v>
      </c>
      <c r="M8" s="13"/>
      <c r="N8" s="4"/>
      <c r="O8" s="113"/>
      <c r="P8" s="97"/>
    </row>
    <row r="9" spans="1:16" ht="29">
      <c r="A9" s="94"/>
      <c r="B9" s="100"/>
      <c r="C9" s="2" t="s">
        <v>31</v>
      </c>
      <c r="D9" s="25">
        <v>45536</v>
      </c>
      <c r="E9" s="26" t="s">
        <v>32</v>
      </c>
      <c r="F9" s="74" t="s">
        <v>21</v>
      </c>
      <c r="G9" s="75"/>
      <c r="H9" s="75"/>
      <c r="I9" s="77">
        <f t="shared" si="0"/>
        <v>20643.5</v>
      </c>
      <c r="J9" s="78">
        <v>21730</v>
      </c>
      <c r="K9" s="79">
        <v>1086.5</v>
      </c>
      <c r="L9" s="2" t="s">
        <v>22</v>
      </c>
      <c r="M9" s="13"/>
      <c r="N9" s="4"/>
      <c r="O9" s="113"/>
      <c r="P9" s="97"/>
    </row>
    <row r="10" spans="1:16" ht="29">
      <c r="A10" s="94"/>
      <c r="B10" s="100"/>
      <c r="C10" s="2" t="s">
        <v>33</v>
      </c>
      <c r="D10" s="25">
        <v>45566</v>
      </c>
      <c r="E10" s="26" t="s">
        <v>34</v>
      </c>
      <c r="F10" s="74" t="s">
        <v>21</v>
      </c>
      <c r="G10" s="75"/>
      <c r="H10" s="75"/>
      <c r="I10" s="77">
        <f t="shared" si="0"/>
        <v>20643.5</v>
      </c>
      <c r="J10" s="78">
        <v>21730</v>
      </c>
      <c r="K10" s="79">
        <v>1086.5</v>
      </c>
      <c r="L10" s="2" t="s">
        <v>22</v>
      </c>
      <c r="M10" s="13"/>
      <c r="N10" s="4"/>
      <c r="O10" s="113"/>
      <c r="P10" s="97"/>
    </row>
    <row r="11" spans="1:16" ht="29">
      <c r="A11" s="94"/>
      <c r="B11" s="100"/>
      <c r="C11" s="2" t="s">
        <v>35</v>
      </c>
      <c r="D11" s="25">
        <v>45597</v>
      </c>
      <c r="E11" s="26" t="s">
        <v>36</v>
      </c>
      <c r="F11" s="74" t="s">
        <v>21</v>
      </c>
      <c r="G11" s="75"/>
      <c r="H11" s="75"/>
      <c r="I11" s="77">
        <f t="shared" si="0"/>
        <v>20643.5</v>
      </c>
      <c r="J11" s="78">
        <v>21730</v>
      </c>
      <c r="K11" s="79">
        <v>1086.5</v>
      </c>
      <c r="L11" s="2" t="s">
        <v>22</v>
      </c>
      <c r="M11" s="13"/>
      <c r="N11" s="4"/>
      <c r="O11" s="113"/>
      <c r="P11" s="97"/>
    </row>
    <row r="12" spans="1:16" ht="29">
      <c r="A12" s="94"/>
      <c r="B12" s="100"/>
      <c r="C12" s="2" t="s">
        <v>37</v>
      </c>
      <c r="D12" s="25">
        <v>45627</v>
      </c>
      <c r="E12" s="26" t="s">
        <v>38</v>
      </c>
      <c r="F12" s="74" t="s">
        <v>21</v>
      </c>
      <c r="G12" s="72"/>
      <c r="H12" s="72"/>
      <c r="I12" s="77">
        <f t="shared" si="0"/>
        <v>20643.5</v>
      </c>
      <c r="J12" s="78">
        <v>21730</v>
      </c>
      <c r="K12" s="79">
        <v>1086.5</v>
      </c>
      <c r="L12" s="2" t="s">
        <v>22</v>
      </c>
      <c r="M12" s="27"/>
      <c r="N12" s="34"/>
      <c r="O12" s="113"/>
      <c r="P12" s="97"/>
    </row>
    <row r="13" spans="1:16" ht="29">
      <c r="A13" s="94"/>
      <c r="B13" s="100"/>
      <c r="C13" s="2" t="s">
        <v>39</v>
      </c>
      <c r="D13" s="25">
        <v>45658</v>
      </c>
      <c r="E13" s="26" t="s">
        <v>40</v>
      </c>
      <c r="F13" s="74" t="s">
        <v>21</v>
      </c>
      <c r="G13" s="72"/>
      <c r="H13" s="72"/>
      <c r="I13" s="77">
        <f t="shared" si="0"/>
        <v>20643.5</v>
      </c>
      <c r="J13" s="78">
        <v>21730</v>
      </c>
      <c r="K13" s="79">
        <v>1086.5</v>
      </c>
      <c r="L13" s="2" t="s">
        <v>22</v>
      </c>
      <c r="M13" s="27"/>
      <c r="N13" s="31"/>
      <c r="O13" s="113"/>
      <c r="P13" s="97"/>
    </row>
    <row r="14" spans="1:16" ht="29">
      <c r="A14" s="94"/>
      <c r="B14" s="100"/>
      <c r="C14" s="2" t="s">
        <v>41</v>
      </c>
      <c r="D14" s="25">
        <v>45689</v>
      </c>
      <c r="E14" s="26" t="s">
        <v>42</v>
      </c>
      <c r="F14" s="74" t="s">
        <v>21</v>
      </c>
      <c r="G14" s="72"/>
      <c r="H14" s="72"/>
      <c r="I14" s="77">
        <f t="shared" si="0"/>
        <v>20643.5</v>
      </c>
      <c r="J14" s="78">
        <v>21730</v>
      </c>
      <c r="K14" s="79">
        <v>1086.5</v>
      </c>
      <c r="L14" s="2" t="s">
        <v>22</v>
      </c>
      <c r="M14" s="27"/>
      <c r="N14" s="31"/>
      <c r="O14" s="113"/>
      <c r="P14" s="97"/>
    </row>
    <row r="15" spans="1:16" ht="29">
      <c r="A15" s="94"/>
      <c r="B15" s="100"/>
      <c r="C15" s="51" t="s">
        <v>43</v>
      </c>
      <c r="D15" s="55">
        <v>45717</v>
      </c>
      <c r="E15" s="53" t="s">
        <v>44</v>
      </c>
      <c r="F15" s="74" t="s">
        <v>21</v>
      </c>
      <c r="G15" s="73"/>
      <c r="H15" s="73"/>
      <c r="I15" s="80">
        <f t="shared" si="0"/>
        <v>20643.5</v>
      </c>
      <c r="J15" s="81">
        <v>21730</v>
      </c>
      <c r="K15" s="82">
        <v>1086.5</v>
      </c>
      <c r="L15" s="51" t="s">
        <v>22</v>
      </c>
      <c r="M15" s="56"/>
      <c r="N15" s="57"/>
      <c r="O15" s="113"/>
      <c r="P15" s="97"/>
    </row>
    <row r="16" spans="1:16" ht="29.15" customHeight="1">
      <c r="A16" s="93" t="s">
        <v>45</v>
      </c>
      <c r="B16" s="99" t="s">
        <v>46</v>
      </c>
      <c r="C16" s="2" t="s">
        <v>47</v>
      </c>
      <c r="D16" s="25">
        <v>45383</v>
      </c>
      <c r="E16" s="26" t="s">
        <v>20</v>
      </c>
      <c r="F16" s="74" t="s">
        <v>48</v>
      </c>
      <c r="G16" s="72"/>
      <c r="H16" s="72"/>
      <c r="I16" s="77">
        <f t="shared" si="0"/>
        <v>25640.5</v>
      </c>
      <c r="J16" s="78">
        <v>26990</v>
      </c>
      <c r="K16" s="79">
        <v>1349.5</v>
      </c>
      <c r="L16" s="2" t="s">
        <v>22</v>
      </c>
      <c r="M16" s="27"/>
      <c r="N16" s="31"/>
      <c r="O16" s="112" t="s">
        <v>49</v>
      </c>
      <c r="P16" s="96">
        <f>SUM($I$16:$I$17)+SUM($K$16:$K$17)</f>
        <v>53980</v>
      </c>
    </row>
    <row r="17" spans="1:16" ht="29">
      <c r="A17" s="95"/>
      <c r="B17" s="101"/>
      <c r="C17" s="2" t="s">
        <v>50</v>
      </c>
      <c r="D17" s="25">
        <v>45413</v>
      </c>
      <c r="E17" s="26" t="s">
        <v>24</v>
      </c>
      <c r="F17" s="76" t="s">
        <v>48</v>
      </c>
      <c r="G17" s="72"/>
      <c r="H17" s="72"/>
      <c r="I17" s="77">
        <f t="shared" si="0"/>
        <v>25640.5</v>
      </c>
      <c r="J17" s="78">
        <v>26990</v>
      </c>
      <c r="K17" s="79">
        <v>1349.5</v>
      </c>
      <c r="L17" s="2" t="s">
        <v>22</v>
      </c>
      <c r="M17" s="27"/>
      <c r="N17" s="31"/>
      <c r="O17" s="114"/>
      <c r="P17" s="98"/>
    </row>
    <row r="18" spans="1:16" ht="29">
      <c r="A18" s="93" t="s">
        <v>49</v>
      </c>
      <c r="B18" s="99" t="s">
        <v>51</v>
      </c>
      <c r="C18" s="2" t="s">
        <v>52</v>
      </c>
      <c r="D18" s="25">
        <v>45383</v>
      </c>
      <c r="E18" s="26" t="s">
        <v>20</v>
      </c>
      <c r="F18" s="74" t="s">
        <v>53</v>
      </c>
      <c r="G18" s="75"/>
      <c r="H18" s="75"/>
      <c r="I18" s="77">
        <f>J18-K18</f>
        <v>9120</v>
      </c>
      <c r="J18" s="78">
        <v>9600</v>
      </c>
      <c r="K18" s="79">
        <v>480</v>
      </c>
      <c r="L18" s="2" t="s">
        <v>22</v>
      </c>
      <c r="M18" s="13"/>
      <c r="N18" s="4"/>
      <c r="O18" s="112" t="str">
        <f>A18</f>
        <v>A2</v>
      </c>
      <c r="P18" s="96">
        <f>SUM($I$18:$I$29)+SUM($K$18:$K$29)</f>
        <v>115200</v>
      </c>
    </row>
    <row r="19" spans="1:16" ht="29">
      <c r="A19" s="94"/>
      <c r="B19" s="100"/>
      <c r="C19" s="2" t="s">
        <v>54</v>
      </c>
      <c r="D19" s="25">
        <v>45413</v>
      </c>
      <c r="E19" s="26" t="s">
        <v>24</v>
      </c>
      <c r="F19" s="74" t="s">
        <v>53</v>
      </c>
      <c r="G19" s="75"/>
      <c r="H19" s="75"/>
      <c r="I19" s="77">
        <f t="shared" ref="I19:I29" si="1">J19-K19</f>
        <v>9120</v>
      </c>
      <c r="J19" s="78">
        <v>9600</v>
      </c>
      <c r="K19" s="79">
        <v>480</v>
      </c>
      <c r="L19" s="2" t="s">
        <v>22</v>
      </c>
      <c r="M19" s="13"/>
      <c r="N19" s="4"/>
      <c r="O19" s="113"/>
      <c r="P19" s="97"/>
    </row>
    <row r="20" spans="1:16" ht="29">
      <c r="A20" s="94"/>
      <c r="B20" s="100"/>
      <c r="C20" s="2" t="s">
        <v>55</v>
      </c>
      <c r="D20" s="25">
        <v>45444</v>
      </c>
      <c r="E20" s="26" t="s">
        <v>26</v>
      </c>
      <c r="F20" s="74" t="s">
        <v>53</v>
      </c>
      <c r="G20" s="75"/>
      <c r="H20" s="75"/>
      <c r="I20" s="77">
        <f t="shared" si="1"/>
        <v>9120</v>
      </c>
      <c r="J20" s="78">
        <v>9600</v>
      </c>
      <c r="K20" s="79">
        <v>480</v>
      </c>
      <c r="L20" s="2" t="s">
        <v>22</v>
      </c>
      <c r="M20" s="13"/>
      <c r="N20" s="4"/>
      <c r="O20" s="113"/>
      <c r="P20" s="97"/>
    </row>
    <row r="21" spans="1:16" ht="29">
      <c r="A21" s="94"/>
      <c r="B21" s="100"/>
      <c r="C21" s="2" t="s">
        <v>56</v>
      </c>
      <c r="D21" s="25">
        <v>45474</v>
      </c>
      <c r="E21" s="26" t="s">
        <v>28</v>
      </c>
      <c r="F21" s="74" t="s">
        <v>53</v>
      </c>
      <c r="G21" s="75"/>
      <c r="H21" s="75"/>
      <c r="I21" s="77">
        <f t="shared" si="1"/>
        <v>9120</v>
      </c>
      <c r="J21" s="78">
        <v>9600</v>
      </c>
      <c r="K21" s="79">
        <v>480</v>
      </c>
      <c r="L21" s="2" t="s">
        <v>22</v>
      </c>
      <c r="M21" s="13"/>
      <c r="N21" s="4"/>
      <c r="O21" s="113"/>
      <c r="P21" s="97"/>
    </row>
    <row r="22" spans="1:16" ht="29">
      <c r="A22" s="94"/>
      <c r="B22" s="100"/>
      <c r="C22" s="2" t="s">
        <v>57</v>
      </c>
      <c r="D22" s="25">
        <v>45505</v>
      </c>
      <c r="E22" s="26" t="s">
        <v>30</v>
      </c>
      <c r="F22" s="74" t="s">
        <v>53</v>
      </c>
      <c r="G22" s="75"/>
      <c r="H22" s="75"/>
      <c r="I22" s="77">
        <f t="shared" si="1"/>
        <v>9120</v>
      </c>
      <c r="J22" s="78">
        <v>9600</v>
      </c>
      <c r="K22" s="79">
        <v>480</v>
      </c>
      <c r="L22" s="2" t="s">
        <v>22</v>
      </c>
      <c r="M22" s="13"/>
      <c r="N22" s="4"/>
      <c r="O22" s="113"/>
      <c r="P22" s="97"/>
    </row>
    <row r="23" spans="1:16" ht="29">
      <c r="A23" s="94"/>
      <c r="B23" s="100"/>
      <c r="C23" s="2" t="s">
        <v>58</v>
      </c>
      <c r="D23" s="25">
        <v>45536</v>
      </c>
      <c r="E23" s="26" t="s">
        <v>32</v>
      </c>
      <c r="F23" s="74" t="s">
        <v>53</v>
      </c>
      <c r="G23" s="75"/>
      <c r="H23" s="75"/>
      <c r="I23" s="77">
        <f t="shared" si="1"/>
        <v>9120</v>
      </c>
      <c r="J23" s="78">
        <v>9600</v>
      </c>
      <c r="K23" s="79">
        <v>480</v>
      </c>
      <c r="L23" s="2" t="s">
        <v>22</v>
      </c>
      <c r="M23" s="13"/>
      <c r="N23" s="4"/>
      <c r="O23" s="113"/>
      <c r="P23" s="97"/>
    </row>
    <row r="24" spans="1:16" ht="29">
      <c r="A24" s="94"/>
      <c r="B24" s="100"/>
      <c r="C24" s="2" t="s">
        <v>59</v>
      </c>
      <c r="D24" s="25">
        <v>45566</v>
      </c>
      <c r="E24" s="26" t="s">
        <v>34</v>
      </c>
      <c r="F24" s="74" t="s">
        <v>53</v>
      </c>
      <c r="G24" s="75"/>
      <c r="H24" s="75"/>
      <c r="I24" s="77">
        <f t="shared" si="1"/>
        <v>9120</v>
      </c>
      <c r="J24" s="78">
        <v>9600</v>
      </c>
      <c r="K24" s="79">
        <v>480</v>
      </c>
      <c r="L24" s="2" t="s">
        <v>22</v>
      </c>
      <c r="M24" s="13"/>
      <c r="N24" s="4"/>
      <c r="O24" s="113"/>
      <c r="P24" s="97"/>
    </row>
    <row r="25" spans="1:16" ht="29">
      <c r="A25" s="94"/>
      <c r="B25" s="100"/>
      <c r="C25" s="2" t="s">
        <v>60</v>
      </c>
      <c r="D25" s="25">
        <v>45597</v>
      </c>
      <c r="E25" s="26" t="s">
        <v>36</v>
      </c>
      <c r="F25" s="74" t="s">
        <v>53</v>
      </c>
      <c r="G25" s="75"/>
      <c r="H25" s="75"/>
      <c r="I25" s="77">
        <f t="shared" si="1"/>
        <v>9120</v>
      </c>
      <c r="J25" s="78">
        <v>9600</v>
      </c>
      <c r="K25" s="79">
        <v>480</v>
      </c>
      <c r="L25" s="2" t="s">
        <v>22</v>
      </c>
      <c r="M25" s="13"/>
      <c r="N25" s="4"/>
      <c r="O25" s="113"/>
      <c r="P25" s="97"/>
    </row>
    <row r="26" spans="1:16" ht="29">
      <c r="A26" s="94"/>
      <c r="B26" s="100"/>
      <c r="C26" s="2" t="s">
        <v>61</v>
      </c>
      <c r="D26" s="25">
        <v>45627</v>
      </c>
      <c r="E26" s="26" t="s">
        <v>38</v>
      </c>
      <c r="F26" s="74" t="s">
        <v>53</v>
      </c>
      <c r="G26" s="72"/>
      <c r="H26" s="72"/>
      <c r="I26" s="77">
        <f t="shared" si="1"/>
        <v>9120</v>
      </c>
      <c r="J26" s="78">
        <v>9600</v>
      </c>
      <c r="K26" s="79">
        <v>480</v>
      </c>
      <c r="L26" s="2" t="s">
        <v>22</v>
      </c>
      <c r="M26" s="27"/>
      <c r="N26" s="34"/>
      <c r="O26" s="113"/>
      <c r="P26" s="97"/>
    </row>
    <row r="27" spans="1:16" ht="29">
      <c r="A27" s="94"/>
      <c r="B27" s="100"/>
      <c r="C27" s="2" t="s">
        <v>62</v>
      </c>
      <c r="D27" s="25">
        <v>45658</v>
      </c>
      <c r="E27" s="26" t="s">
        <v>40</v>
      </c>
      <c r="F27" s="74" t="s">
        <v>53</v>
      </c>
      <c r="G27" s="72"/>
      <c r="H27" s="72"/>
      <c r="I27" s="77">
        <f t="shared" si="1"/>
        <v>9120</v>
      </c>
      <c r="J27" s="78">
        <v>9600</v>
      </c>
      <c r="K27" s="79">
        <v>480</v>
      </c>
      <c r="L27" s="2" t="s">
        <v>22</v>
      </c>
      <c r="M27" s="27"/>
      <c r="N27" s="31"/>
      <c r="O27" s="113"/>
      <c r="P27" s="97"/>
    </row>
    <row r="28" spans="1:16" ht="29">
      <c r="A28" s="94"/>
      <c r="B28" s="100"/>
      <c r="C28" s="2" t="s">
        <v>63</v>
      </c>
      <c r="D28" s="25">
        <v>45689</v>
      </c>
      <c r="E28" s="26" t="s">
        <v>42</v>
      </c>
      <c r="F28" s="74" t="s">
        <v>53</v>
      </c>
      <c r="G28" s="72"/>
      <c r="H28" s="72"/>
      <c r="I28" s="77">
        <f t="shared" si="1"/>
        <v>9120</v>
      </c>
      <c r="J28" s="78">
        <v>9600</v>
      </c>
      <c r="K28" s="79">
        <v>480</v>
      </c>
      <c r="L28" s="2" t="s">
        <v>22</v>
      </c>
      <c r="M28" s="27"/>
      <c r="N28" s="31"/>
      <c r="O28" s="113"/>
      <c r="P28" s="97"/>
    </row>
    <row r="29" spans="1:16" ht="29">
      <c r="A29" s="95"/>
      <c r="B29" s="101"/>
      <c r="C29" s="2" t="s">
        <v>64</v>
      </c>
      <c r="D29" s="25">
        <v>45717</v>
      </c>
      <c r="E29" s="26" t="s">
        <v>44</v>
      </c>
      <c r="F29" s="74" t="s">
        <v>53</v>
      </c>
      <c r="G29" s="72"/>
      <c r="H29" s="72"/>
      <c r="I29" s="77">
        <f t="shared" si="1"/>
        <v>9120</v>
      </c>
      <c r="J29" s="78">
        <v>9600</v>
      </c>
      <c r="K29" s="79">
        <v>480</v>
      </c>
      <c r="L29" s="2" t="s">
        <v>22</v>
      </c>
      <c r="M29" s="27"/>
      <c r="N29" s="31"/>
      <c r="O29" s="114"/>
      <c r="P29" s="98"/>
    </row>
    <row r="30" spans="1:16" ht="35.5" customHeight="1">
      <c r="A30" s="93" t="s">
        <v>65</v>
      </c>
      <c r="B30" s="99" t="s">
        <v>66</v>
      </c>
      <c r="C30" s="2" t="s">
        <v>67</v>
      </c>
      <c r="D30" s="25">
        <v>45474</v>
      </c>
      <c r="E30" s="26" t="s">
        <v>28</v>
      </c>
      <c r="F30" s="74" t="s">
        <v>68</v>
      </c>
      <c r="G30" s="75"/>
      <c r="H30" s="75"/>
      <c r="I30" s="77">
        <f t="shared" ref="I30:I33" si="2">J30-K30</f>
        <v>15200</v>
      </c>
      <c r="J30" s="78">
        <v>16000</v>
      </c>
      <c r="K30" s="79">
        <v>800</v>
      </c>
      <c r="L30" s="2" t="s">
        <v>22</v>
      </c>
      <c r="M30" s="13"/>
      <c r="N30" s="4"/>
      <c r="O30" s="112" t="s">
        <v>65</v>
      </c>
      <c r="P30" s="96">
        <f>SUM($I$30:$I$33)+SUM($K$30:$K$33)</f>
        <v>64000</v>
      </c>
    </row>
    <row r="31" spans="1:16" ht="34.5" customHeight="1">
      <c r="A31" s="94"/>
      <c r="B31" s="100"/>
      <c r="C31" s="2" t="s">
        <v>69</v>
      </c>
      <c r="D31" s="25">
        <v>45505</v>
      </c>
      <c r="E31" s="26" t="s">
        <v>30</v>
      </c>
      <c r="F31" s="74" t="s">
        <v>68</v>
      </c>
      <c r="G31" s="75"/>
      <c r="H31" s="75"/>
      <c r="I31" s="77">
        <f t="shared" si="2"/>
        <v>15200</v>
      </c>
      <c r="J31" s="78">
        <v>16000</v>
      </c>
      <c r="K31" s="79">
        <v>800</v>
      </c>
      <c r="L31" s="2" t="s">
        <v>22</v>
      </c>
      <c r="M31" s="13"/>
      <c r="N31" s="4"/>
      <c r="O31" s="113"/>
      <c r="P31" s="97"/>
    </row>
    <row r="32" spans="1:16" ht="29">
      <c r="A32" s="94"/>
      <c r="B32" s="100"/>
      <c r="C32" s="2" t="s">
        <v>70</v>
      </c>
      <c r="D32" s="25">
        <v>45536</v>
      </c>
      <c r="E32" s="26" t="s">
        <v>32</v>
      </c>
      <c r="F32" s="74" t="s">
        <v>68</v>
      </c>
      <c r="G32" s="75"/>
      <c r="H32" s="75"/>
      <c r="I32" s="77">
        <f t="shared" si="2"/>
        <v>15200</v>
      </c>
      <c r="J32" s="78">
        <v>16000</v>
      </c>
      <c r="K32" s="79">
        <v>800</v>
      </c>
      <c r="L32" s="2" t="s">
        <v>22</v>
      </c>
      <c r="M32" s="13"/>
      <c r="N32" s="4"/>
      <c r="O32" s="113"/>
      <c r="P32" s="97">
        <f t="shared" ref="P32" si="3">SUM(I32:I33)+SUM(K32:K33)</f>
        <v>32000</v>
      </c>
    </row>
    <row r="33" spans="1:16" ht="29">
      <c r="A33" s="95"/>
      <c r="B33" s="101"/>
      <c r="C33" s="2" t="s">
        <v>71</v>
      </c>
      <c r="D33" s="25">
        <v>45566</v>
      </c>
      <c r="E33" s="26" t="s">
        <v>34</v>
      </c>
      <c r="F33" s="74" t="s">
        <v>68</v>
      </c>
      <c r="G33" s="75"/>
      <c r="H33" s="75"/>
      <c r="I33" s="77">
        <f t="shared" si="2"/>
        <v>15200</v>
      </c>
      <c r="J33" s="78">
        <v>16000</v>
      </c>
      <c r="K33" s="79">
        <v>800</v>
      </c>
      <c r="L33" s="2" t="s">
        <v>22</v>
      </c>
      <c r="M33" s="13"/>
      <c r="N33" s="4"/>
      <c r="O33" s="114"/>
      <c r="P33" s="98"/>
    </row>
    <row r="34" spans="1:16">
      <c r="A34" s="15"/>
      <c r="B34" s="16"/>
      <c r="C34" s="17"/>
      <c r="D34" s="17"/>
      <c r="E34" s="17"/>
      <c r="F34" s="17"/>
      <c r="G34" s="17"/>
      <c r="H34" s="17"/>
      <c r="I34" s="83"/>
      <c r="J34" s="84"/>
      <c r="K34" s="84"/>
      <c r="L34" s="17"/>
      <c r="M34" s="17"/>
      <c r="N34" s="17"/>
      <c r="O34" s="17"/>
      <c r="P34" s="18"/>
    </row>
    <row r="35" spans="1:16" ht="15.5">
      <c r="A35" s="93" t="s">
        <v>72</v>
      </c>
      <c r="B35" s="93" t="s">
        <v>73</v>
      </c>
      <c r="C35" s="4" t="s">
        <v>4</v>
      </c>
      <c r="D35" s="4" t="s">
        <v>5</v>
      </c>
      <c r="E35" s="23"/>
      <c r="F35" s="105" t="s">
        <v>74</v>
      </c>
      <c r="G35" s="110" t="s">
        <v>75</v>
      </c>
      <c r="H35" s="111"/>
      <c r="I35" s="5" t="s">
        <v>76</v>
      </c>
      <c r="J35" s="102"/>
      <c r="K35" s="105"/>
      <c r="L35" s="105"/>
      <c r="M35" s="105"/>
      <c r="N35" s="4" t="s">
        <v>15</v>
      </c>
      <c r="O35" s="14"/>
      <c r="P35" s="11" t="s">
        <v>77</v>
      </c>
    </row>
    <row r="36" spans="1:16" ht="15.5">
      <c r="A36" s="94"/>
      <c r="B36" s="94"/>
      <c r="C36" s="2" t="s">
        <v>78</v>
      </c>
      <c r="D36" s="25">
        <v>45383</v>
      </c>
      <c r="E36" s="58"/>
      <c r="F36" s="106"/>
      <c r="G36" s="108">
        <v>45383</v>
      </c>
      <c r="H36" s="109"/>
      <c r="I36" s="5">
        <f>1086.5+1349.5+480</f>
        <v>2916</v>
      </c>
      <c r="J36" s="103"/>
      <c r="K36" s="106"/>
      <c r="L36" s="106"/>
      <c r="M36" s="106"/>
      <c r="N36" s="4"/>
      <c r="O36" s="112" t="s">
        <v>72</v>
      </c>
      <c r="P36" s="115">
        <f>SUM($I$36:$I$47)</f>
        <v>24697</v>
      </c>
    </row>
    <row r="37" spans="1:16" ht="15.5">
      <c r="A37" s="94"/>
      <c r="B37" s="94"/>
      <c r="C37" s="2" t="s">
        <v>79</v>
      </c>
      <c r="D37" s="25">
        <v>45413</v>
      </c>
      <c r="E37" s="58"/>
      <c r="F37" s="106"/>
      <c r="G37" s="108">
        <v>45413</v>
      </c>
      <c r="H37" s="109"/>
      <c r="I37" s="5">
        <f>1086.5+1349.5+480</f>
        <v>2916</v>
      </c>
      <c r="J37" s="103"/>
      <c r="K37" s="106"/>
      <c r="L37" s="106"/>
      <c r="M37" s="106"/>
      <c r="N37" s="4"/>
      <c r="O37" s="113"/>
      <c r="P37" s="115"/>
    </row>
    <row r="38" spans="1:16" ht="15.5">
      <c r="A38" s="94"/>
      <c r="B38" s="94"/>
      <c r="C38" s="2" t="s">
        <v>80</v>
      </c>
      <c r="D38" s="25">
        <v>45444</v>
      </c>
      <c r="E38" s="58"/>
      <c r="F38" s="106"/>
      <c r="G38" s="108">
        <v>45444</v>
      </c>
      <c r="H38" s="109"/>
      <c r="I38" s="5">
        <f>1086.5+480</f>
        <v>1566.5</v>
      </c>
      <c r="J38" s="103"/>
      <c r="K38" s="106"/>
      <c r="L38" s="106"/>
      <c r="M38" s="106"/>
      <c r="N38" s="4"/>
      <c r="O38" s="113"/>
      <c r="P38" s="115"/>
    </row>
    <row r="39" spans="1:16" ht="15.5">
      <c r="A39" s="94"/>
      <c r="B39" s="94"/>
      <c r="C39" s="2" t="s">
        <v>81</v>
      </c>
      <c r="D39" s="25">
        <v>45474</v>
      </c>
      <c r="E39" s="58"/>
      <c r="F39" s="106"/>
      <c r="G39" s="108">
        <v>45474</v>
      </c>
      <c r="H39" s="109"/>
      <c r="I39" s="5">
        <f>1086.5+480+800</f>
        <v>2366.5</v>
      </c>
      <c r="J39" s="103"/>
      <c r="K39" s="106"/>
      <c r="L39" s="106"/>
      <c r="M39" s="106"/>
      <c r="N39" s="4"/>
      <c r="O39" s="113"/>
      <c r="P39" s="115"/>
    </row>
    <row r="40" spans="1:16" ht="15.5">
      <c r="A40" s="94"/>
      <c r="B40" s="94"/>
      <c r="C40" s="2" t="s">
        <v>82</v>
      </c>
      <c r="D40" s="25">
        <v>45505</v>
      </c>
      <c r="E40" s="58"/>
      <c r="F40" s="106"/>
      <c r="G40" s="108">
        <v>45505</v>
      </c>
      <c r="H40" s="109"/>
      <c r="I40" s="5">
        <f t="shared" ref="I40:I42" si="4">1086.5+480+800</f>
        <v>2366.5</v>
      </c>
      <c r="J40" s="103"/>
      <c r="K40" s="106"/>
      <c r="L40" s="106"/>
      <c r="M40" s="106"/>
      <c r="N40" s="4"/>
      <c r="O40" s="113"/>
      <c r="P40" s="115"/>
    </row>
    <row r="41" spans="1:16" ht="15.5">
      <c r="A41" s="94"/>
      <c r="B41" s="94"/>
      <c r="C41" s="2" t="s">
        <v>83</v>
      </c>
      <c r="D41" s="25">
        <v>45536</v>
      </c>
      <c r="E41" s="58"/>
      <c r="F41" s="106"/>
      <c r="G41" s="108">
        <v>45536</v>
      </c>
      <c r="H41" s="109"/>
      <c r="I41" s="5">
        <f t="shared" si="4"/>
        <v>2366.5</v>
      </c>
      <c r="J41" s="103"/>
      <c r="K41" s="106"/>
      <c r="L41" s="106"/>
      <c r="M41" s="106"/>
      <c r="N41" s="4"/>
      <c r="O41" s="113"/>
      <c r="P41" s="115"/>
    </row>
    <row r="42" spans="1:16" ht="15.5">
      <c r="A42" s="94"/>
      <c r="B42" s="94"/>
      <c r="C42" s="2" t="s">
        <v>84</v>
      </c>
      <c r="D42" s="25">
        <v>45566</v>
      </c>
      <c r="E42" s="58"/>
      <c r="F42" s="106"/>
      <c r="G42" s="108">
        <v>45566</v>
      </c>
      <c r="H42" s="109"/>
      <c r="I42" s="5">
        <f t="shared" si="4"/>
        <v>2366.5</v>
      </c>
      <c r="J42" s="103"/>
      <c r="K42" s="106"/>
      <c r="L42" s="106"/>
      <c r="M42" s="106"/>
      <c r="N42" s="4"/>
      <c r="O42" s="113"/>
      <c r="P42" s="115"/>
    </row>
    <row r="43" spans="1:16" ht="15.5">
      <c r="A43" s="94"/>
      <c r="B43" s="94"/>
      <c r="C43" s="2" t="s">
        <v>85</v>
      </c>
      <c r="D43" s="25">
        <v>45597</v>
      </c>
      <c r="E43" s="58"/>
      <c r="F43" s="106"/>
      <c r="G43" s="108">
        <v>45597</v>
      </c>
      <c r="H43" s="109"/>
      <c r="I43" s="5">
        <f>1086.5+480</f>
        <v>1566.5</v>
      </c>
      <c r="J43" s="103"/>
      <c r="K43" s="106"/>
      <c r="L43" s="106"/>
      <c r="M43" s="106"/>
      <c r="N43" s="4"/>
      <c r="O43" s="113"/>
      <c r="P43" s="115"/>
    </row>
    <row r="44" spans="1:16" ht="15.5">
      <c r="A44" s="94"/>
      <c r="B44" s="94"/>
      <c r="C44" s="2" t="s">
        <v>86</v>
      </c>
      <c r="D44" s="25">
        <v>45627</v>
      </c>
      <c r="E44" s="24"/>
      <c r="F44" s="106"/>
      <c r="G44" s="108">
        <v>45627</v>
      </c>
      <c r="H44" s="109"/>
      <c r="I44" s="5">
        <f t="shared" ref="I44:I47" si="5">1086.5+480</f>
        <v>1566.5</v>
      </c>
      <c r="J44" s="103"/>
      <c r="K44" s="106"/>
      <c r="L44" s="106"/>
      <c r="M44" s="106"/>
      <c r="N44" s="34"/>
      <c r="O44" s="113"/>
      <c r="P44" s="115"/>
    </row>
    <row r="45" spans="1:16" ht="15.5">
      <c r="A45" s="94"/>
      <c r="B45" s="94"/>
      <c r="C45" s="2" t="s">
        <v>87</v>
      </c>
      <c r="D45" s="25">
        <v>45658</v>
      </c>
      <c r="E45" s="24"/>
      <c r="F45" s="106"/>
      <c r="G45" s="108">
        <v>45658</v>
      </c>
      <c r="H45" s="109"/>
      <c r="I45" s="5">
        <f t="shared" si="5"/>
        <v>1566.5</v>
      </c>
      <c r="J45" s="103"/>
      <c r="K45" s="106"/>
      <c r="L45" s="106"/>
      <c r="M45" s="106"/>
      <c r="N45" s="34"/>
      <c r="O45" s="113"/>
      <c r="P45" s="115"/>
    </row>
    <row r="46" spans="1:16" ht="15.5">
      <c r="A46" s="94"/>
      <c r="B46" s="94"/>
      <c r="C46" s="2" t="s">
        <v>88</v>
      </c>
      <c r="D46" s="25">
        <v>45689</v>
      </c>
      <c r="E46" s="24"/>
      <c r="F46" s="106"/>
      <c r="G46" s="108">
        <v>45689</v>
      </c>
      <c r="H46" s="109"/>
      <c r="I46" s="5">
        <f t="shared" si="5"/>
        <v>1566.5</v>
      </c>
      <c r="J46" s="103"/>
      <c r="K46" s="106"/>
      <c r="L46" s="106"/>
      <c r="M46" s="106"/>
      <c r="N46" s="34"/>
      <c r="O46" s="113"/>
      <c r="P46" s="115"/>
    </row>
    <row r="47" spans="1:16" ht="15.5">
      <c r="A47" s="95"/>
      <c r="B47" s="95"/>
      <c r="C47" s="2" t="s">
        <v>89</v>
      </c>
      <c r="D47" s="25">
        <v>45717</v>
      </c>
      <c r="E47" s="19"/>
      <c r="F47" s="107"/>
      <c r="G47" s="108">
        <v>45717</v>
      </c>
      <c r="H47" s="109"/>
      <c r="I47" s="5">
        <f t="shared" si="5"/>
        <v>1566.5</v>
      </c>
      <c r="J47" s="104"/>
      <c r="K47" s="107"/>
      <c r="L47" s="107"/>
      <c r="M47" s="107"/>
      <c r="N47" s="34"/>
      <c r="O47" s="114"/>
      <c r="P47" s="116"/>
    </row>
    <row r="48" spans="1:16" ht="18.5">
      <c r="O48" s="10" t="s">
        <v>90</v>
      </c>
      <c r="P48" s="29">
        <f>P4+P16+P18+P30+P36</f>
        <v>518637</v>
      </c>
    </row>
  </sheetData>
  <mergeCells count="39">
    <mergeCell ref="O36:O47"/>
    <mergeCell ref="P36:P47"/>
    <mergeCell ref="A18:A29"/>
    <mergeCell ref="B18:B29"/>
    <mergeCell ref="O18:O29"/>
    <mergeCell ref="P18:P29"/>
    <mergeCell ref="O30:O33"/>
    <mergeCell ref="G38:H38"/>
    <mergeCell ref="G41:H41"/>
    <mergeCell ref="G42:H42"/>
    <mergeCell ref="G43:H43"/>
    <mergeCell ref="G44:H44"/>
    <mergeCell ref="G45:H45"/>
    <mergeCell ref="G46:H46"/>
    <mergeCell ref="G47:H47"/>
    <mergeCell ref="A4:A15"/>
    <mergeCell ref="B4:B15"/>
    <mergeCell ref="P4:P15"/>
    <mergeCell ref="O4:O15"/>
    <mergeCell ref="B16:B17"/>
    <mergeCell ref="A16:A17"/>
    <mergeCell ref="P16:P17"/>
    <mergeCell ref="O16:O17"/>
    <mergeCell ref="A2:N2"/>
    <mergeCell ref="A30:A33"/>
    <mergeCell ref="P30:P33"/>
    <mergeCell ref="B30:B33"/>
    <mergeCell ref="J35:J47"/>
    <mergeCell ref="K35:K47"/>
    <mergeCell ref="L35:L47"/>
    <mergeCell ref="M35:M47"/>
    <mergeCell ref="A35:A47"/>
    <mergeCell ref="B35:B47"/>
    <mergeCell ref="G39:H39"/>
    <mergeCell ref="F35:F47"/>
    <mergeCell ref="G35:H35"/>
    <mergeCell ref="G36:H36"/>
    <mergeCell ref="G37:H37"/>
    <mergeCell ref="G40:H40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"/>
  <sheetViews>
    <sheetView topLeftCell="D1" zoomScaleNormal="100" workbookViewId="0">
      <selection activeCell="H16" sqref="H16"/>
    </sheetView>
  </sheetViews>
  <sheetFormatPr defaultRowHeight="14.5"/>
  <cols>
    <col min="1" max="1" width="12.1796875" style="6" customWidth="1"/>
    <col min="2" max="2" width="19.1796875" style="6" customWidth="1"/>
    <col min="3" max="5" width="16.26953125" customWidth="1"/>
    <col min="6" max="6" width="25" customWidth="1"/>
    <col min="7" max="7" width="22.7265625" customWidth="1"/>
    <col min="8" max="8" width="15.7265625" customWidth="1"/>
    <col min="9" max="9" width="14" customWidth="1"/>
    <col min="10" max="10" width="11.453125" customWidth="1"/>
    <col min="11" max="13" width="18.54296875" customWidth="1"/>
    <col min="14" max="14" width="20.453125" customWidth="1"/>
    <col min="15" max="15" width="23" customWidth="1"/>
    <col min="16" max="17" width="18.81640625" customWidth="1"/>
    <col min="18" max="18" width="15.1796875" customWidth="1"/>
    <col min="19" max="19" width="26.1796875" style="6" customWidth="1"/>
    <col min="20" max="20" width="22.26953125" customWidth="1"/>
    <col min="21" max="21" width="16.1796875" customWidth="1"/>
    <col min="22" max="22" width="19.453125" customWidth="1"/>
    <col min="23" max="27" width="18.1796875" customWidth="1"/>
    <col min="28" max="28" width="20" customWidth="1"/>
    <col min="29" max="29" width="13.81640625" style="6" customWidth="1"/>
    <col min="30" max="30" width="25.26953125" style="6" customWidth="1"/>
  </cols>
  <sheetData>
    <row r="1" spans="1:30" ht="33" customHeight="1">
      <c r="A1" s="12" t="s">
        <v>91</v>
      </c>
      <c r="B1" s="12"/>
      <c r="C1" s="1"/>
      <c r="D1" s="1"/>
      <c r="E1" s="1"/>
      <c r="F1" s="1"/>
    </row>
    <row r="2" spans="1:30" ht="23.5">
      <c r="A2" s="89" t="s">
        <v>92</v>
      </c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8"/>
      <c r="AD2" s="8"/>
    </row>
    <row r="3" spans="1:30" ht="63.75" customHeight="1">
      <c r="A3" s="5" t="s">
        <v>2</v>
      </c>
      <c r="B3" s="5" t="s">
        <v>3</v>
      </c>
      <c r="C3" s="4" t="s">
        <v>4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97</v>
      </c>
      <c r="I3" s="4" t="s">
        <v>98</v>
      </c>
      <c r="J3" s="13" t="s">
        <v>99</v>
      </c>
      <c r="K3" s="13" t="s">
        <v>100</v>
      </c>
      <c r="L3" s="13" t="s">
        <v>101</v>
      </c>
      <c r="M3" s="13" t="s">
        <v>102</v>
      </c>
      <c r="N3" s="13" t="s">
        <v>103</v>
      </c>
      <c r="O3" s="13" t="s">
        <v>104</v>
      </c>
      <c r="P3" s="13" t="s">
        <v>105</v>
      </c>
      <c r="Q3" s="13" t="s">
        <v>106</v>
      </c>
      <c r="R3" s="21" t="s">
        <v>107</v>
      </c>
      <c r="S3" s="22" t="s">
        <v>108</v>
      </c>
      <c r="T3" s="13" t="s">
        <v>109</v>
      </c>
      <c r="U3" s="4" t="s">
        <v>110</v>
      </c>
      <c r="V3" s="4" t="s">
        <v>111</v>
      </c>
      <c r="W3" s="13" t="s">
        <v>112</v>
      </c>
      <c r="X3" s="13" t="s">
        <v>113</v>
      </c>
      <c r="Y3" s="13" t="s">
        <v>114</v>
      </c>
      <c r="Z3" s="13" t="s">
        <v>115</v>
      </c>
      <c r="AA3" s="13" t="s">
        <v>116</v>
      </c>
      <c r="AB3" s="4" t="s">
        <v>15</v>
      </c>
      <c r="AC3" s="8"/>
      <c r="AD3" s="9" t="s">
        <v>16</v>
      </c>
    </row>
    <row r="4" spans="1:30">
      <c r="A4" s="93" t="s">
        <v>117</v>
      </c>
      <c r="B4" s="9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  <c r="G4" s="3" t="s">
        <v>120</v>
      </c>
      <c r="H4" s="3" t="s">
        <v>120</v>
      </c>
      <c r="I4" s="59">
        <v>45672</v>
      </c>
      <c r="J4" s="3" t="s">
        <v>123</v>
      </c>
      <c r="K4" s="85">
        <v>12999</v>
      </c>
      <c r="L4" s="3" t="s">
        <v>120</v>
      </c>
      <c r="M4" s="3" t="s">
        <v>120</v>
      </c>
      <c r="N4" s="3" t="s">
        <v>120</v>
      </c>
      <c r="O4" s="3" t="s">
        <v>120</v>
      </c>
      <c r="P4" s="3" t="s">
        <v>120</v>
      </c>
      <c r="Q4" s="3" t="s">
        <v>124</v>
      </c>
      <c r="R4" s="3" t="s">
        <v>120</v>
      </c>
      <c r="S4" s="85">
        <v>12999</v>
      </c>
      <c r="T4" s="3" t="s">
        <v>120</v>
      </c>
      <c r="U4" s="3" t="s">
        <v>120</v>
      </c>
      <c r="V4" s="3" t="s">
        <v>120</v>
      </c>
      <c r="W4" s="3" t="s">
        <v>120</v>
      </c>
      <c r="X4" s="3" t="s">
        <v>120</v>
      </c>
      <c r="Y4" s="3" t="s">
        <v>120</v>
      </c>
      <c r="Z4" s="3" t="s">
        <v>120</v>
      </c>
      <c r="AA4" s="3" t="s">
        <v>120</v>
      </c>
      <c r="AB4" s="3" t="s">
        <v>120</v>
      </c>
      <c r="AC4" s="8" t="str">
        <f t="shared" ref="AC4:AC5" si="0">A4</f>
        <v>B1</v>
      </c>
      <c r="AD4" s="88">
        <f>S4</f>
        <v>12999</v>
      </c>
    </row>
    <row r="5" spans="1:30">
      <c r="A5" s="95"/>
      <c r="B5" s="95"/>
      <c r="C5" s="3" t="s">
        <v>125</v>
      </c>
      <c r="D5" s="3" t="s">
        <v>120</v>
      </c>
      <c r="E5" s="3" t="s">
        <v>121</v>
      </c>
      <c r="F5" s="2" t="s">
        <v>126</v>
      </c>
      <c r="G5" s="3" t="s">
        <v>120</v>
      </c>
      <c r="H5" s="3" t="s">
        <v>120</v>
      </c>
      <c r="I5" s="59">
        <v>45517</v>
      </c>
      <c r="J5" s="3" t="s">
        <v>123</v>
      </c>
      <c r="K5" s="85">
        <v>6099</v>
      </c>
      <c r="L5" s="3" t="s">
        <v>120</v>
      </c>
      <c r="M5" s="3" t="s">
        <v>120</v>
      </c>
      <c r="N5" s="3" t="s">
        <v>120</v>
      </c>
      <c r="O5" s="3" t="s">
        <v>120</v>
      </c>
      <c r="P5" s="3" t="s">
        <v>120</v>
      </c>
      <c r="Q5" s="3" t="s">
        <v>124</v>
      </c>
      <c r="R5" s="3" t="s">
        <v>120</v>
      </c>
      <c r="S5" s="85">
        <v>6099</v>
      </c>
      <c r="T5" s="3" t="s">
        <v>120</v>
      </c>
      <c r="U5" s="3" t="s">
        <v>120</v>
      </c>
      <c r="V5" s="3" t="s">
        <v>120</v>
      </c>
      <c r="W5" s="3" t="s">
        <v>120</v>
      </c>
      <c r="X5" s="3" t="s">
        <v>120</v>
      </c>
      <c r="Y5" s="3" t="s">
        <v>120</v>
      </c>
      <c r="Z5" s="3" t="s">
        <v>120</v>
      </c>
      <c r="AA5" s="3" t="s">
        <v>120</v>
      </c>
      <c r="AB5" s="3" t="s">
        <v>120</v>
      </c>
      <c r="AC5" s="8" t="s">
        <v>178</v>
      </c>
      <c r="AD5" s="88">
        <f t="shared" ref="AD5" si="1">S5</f>
        <v>6099</v>
      </c>
    </row>
    <row r="6" spans="1:30" ht="18.5">
      <c r="AC6" s="10" t="s">
        <v>90</v>
      </c>
      <c r="AD6" s="87">
        <f>SUM(AD4:AD5)</f>
        <v>19098</v>
      </c>
    </row>
  </sheetData>
  <mergeCells count="3">
    <mergeCell ref="A2:AB2"/>
    <mergeCell ref="A4:A5"/>
    <mergeCell ref="B4:B5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4"/>
  <sheetViews>
    <sheetView view="pageBreakPreview" topLeftCell="U1" zoomScale="80" zoomScaleNormal="100" zoomScaleSheetLayoutView="80" workbookViewId="0">
      <selection activeCell="AB19" sqref="AB19"/>
    </sheetView>
  </sheetViews>
  <sheetFormatPr defaultRowHeight="14.5"/>
  <cols>
    <col min="1" max="1" width="12.1796875" style="6" customWidth="1"/>
    <col min="2" max="2" width="14.81640625" style="6" customWidth="1"/>
    <col min="3" max="3" width="16.26953125" customWidth="1"/>
    <col min="4" max="4" width="20.81640625" bestFit="1" customWidth="1"/>
    <col min="5" max="5" width="17.453125" customWidth="1"/>
    <col min="6" max="6" width="25.54296875" customWidth="1"/>
    <col min="7" max="7" width="25" customWidth="1"/>
    <col min="8" max="8" width="20" style="33" customWidth="1"/>
    <col min="9" max="9" width="14" customWidth="1"/>
    <col min="10" max="10" width="11.453125" customWidth="1"/>
    <col min="11" max="13" width="18.54296875" customWidth="1"/>
    <col min="14" max="14" width="23.81640625" bestFit="1" customWidth="1"/>
    <col min="15" max="15" width="23" customWidth="1"/>
    <col min="16" max="16" width="18.81640625" customWidth="1"/>
    <col min="17" max="17" width="20.1796875" customWidth="1"/>
    <col min="18" max="18" width="15.1796875" customWidth="1"/>
    <col min="19" max="19" width="26.1796875" style="6" customWidth="1"/>
    <col min="20" max="20" width="26.7265625" bestFit="1" customWidth="1"/>
    <col min="21" max="21" width="16.1796875" customWidth="1"/>
    <col min="22" max="22" width="19.453125" customWidth="1"/>
    <col min="23" max="27" width="18.1796875" customWidth="1"/>
    <col min="28" max="28" width="20" customWidth="1"/>
    <col min="29" max="29" width="13.81640625" style="6" customWidth="1"/>
    <col min="30" max="30" width="25.26953125" style="6" customWidth="1"/>
    <col min="31" max="31" width="20.7265625" style="50" customWidth="1"/>
    <col min="32" max="32" width="14.26953125" customWidth="1"/>
  </cols>
  <sheetData>
    <row r="1" spans="1:30" ht="33" customHeight="1">
      <c r="A1" s="12" t="s">
        <v>127</v>
      </c>
      <c r="B1" s="12"/>
      <c r="C1" s="1"/>
      <c r="D1" s="1"/>
      <c r="E1" s="1"/>
      <c r="F1" s="1"/>
    </row>
    <row r="2" spans="1:30" ht="23.5">
      <c r="A2" s="64" t="s">
        <v>128</v>
      </c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7"/>
      <c r="AC2" s="8"/>
      <c r="AD2" s="8"/>
    </row>
    <row r="3" spans="1:30" ht="63.75" customHeight="1">
      <c r="A3" s="5" t="s">
        <v>2</v>
      </c>
      <c r="B3" s="5" t="s">
        <v>3</v>
      </c>
      <c r="C3" s="4" t="s">
        <v>4</v>
      </c>
      <c r="D3" s="4" t="s">
        <v>93</v>
      </c>
      <c r="E3" s="13" t="s">
        <v>129</v>
      </c>
      <c r="F3" s="4" t="s">
        <v>95</v>
      </c>
      <c r="G3" s="4" t="s">
        <v>96</v>
      </c>
      <c r="H3" s="13" t="s">
        <v>97</v>
      </c>
      <c r="I3" s="4" t="s">
        <v>98</v>
      </c>
      <c r="J3" s="13" t="s">
        <v>99</v>
      </c>
      <c r="K3" s="13" t="s">
        <v>130</v>
      </c>
      <c r="L3" s="13" t="s">
        <v>101</v>
      </c>
      <c r="M3" s="13" t="s">
        <v>102</v>
      </c>
      <c r="N3" s="13" t="s">
        <v>131</v>
      </c>
      <c r="O3" s="13" t="s">
        <v>104</v>
      </c>
      <c r="P3" s="13" t="s">
        <v>105</v>
      </c>
      <c r="Q3" s="13" t="s">
        <v>106</v>
      </c>
      <c r="R3" s="45" t="s">
        <v>107</v>
      </c>
      <c r="S3" s="46" t="s">
        <v>132</v>
      </c>
      <c r="T3" s="13" t="s">
        <v>109</v>
      </c>
      <c r="U3" s="4" t="s">
        <v>110</v>
      </c>
      <c r="V3" s="4" t="s">
        <v>111</v>
      </c>
      <c r="W3" s="13" t="s">
        <v>112</v>
      </c>
      <c r="X3" s="13" t="s">
        <v>113</v>
      </c>
      <c r="Y3" s="13" t="s">
        <v>114</v>
      </c>
      <c r="Z3" s="13" t="s">
        <v>115</v>
      </c>
      <c r="AA3" s="13" t="s">
        <v>116</v>
      </c>
      <c r="AB3" s="4" t="s">
        <v>15</v>
      </c>
      <c r="AC3" s="8"/>
      <c r="AD3" s="9" t="s">
        <v>16</v>
      </c>
    </row>
    <row r="4" spans="1:30" ht="63.75" customHeight="1">
      <c r="A4" s="60" t="s">
        <v>133</v>
      </c>
      <c r="B4" s="68" t="s">
        <v>134</v>
      </c>
      <c r="C4" s="61" t="s">
        <v>135</v>
      </c>
      <c r="D4" s="61"/>
      <c r="E4" s="62" t="s">
        <v>136</v>
      </c>
      <c r="F4" s="61" t="s">
        <v>137</v>
      </c>
      <c r="G4" s="61"/>
      <c r="H4" s="62"/>
      <c r="I4" s="69">
        <v>45410</v>
      </c>
      <c r="J4" s="38" t="s">
        <v>138</v>
      </c>
      <c r="K4" s="62">
        <v>794.45</v>
      </c>
      <c r="L4" s="62">
        <v>7.9838100000000001</v>
      </c>
      <c r="M4" s="62">
        <v>6342.74</v>
      </c>
      <c r="N4" s="62" t="s">
        <v>139</v>
      </c>
      <c r="O4" s="62"/>
      <c r="P4" s="62"/>
      <c r="Q4" s="62" t="s">
        <v>140</v>
      </c>
      <c r="R4" s="63"/>
      <c r="S4" s="48">
        <v>3854</v>
      </c>
      <c r="T4" s="62"/>
      <c r="U4" s="2" t="s">
        <v>141</v>
      </c>
      <c r="V4" s="61"/>
      <c r="W4" s="62"/>
      <c r="X4" s="62" t="s">
        <v>21</v>
      </c>
      <c r="Y4" s="62"/>
      <c r="Z4" s="62"/>
      <c r="AA4" s="62"/>
      <c r="AB4" s="62" t="s">
        <v>142</v>
      </c>
      <c r="AC4" s="86" t="s">
        <v>133</v>
      </c>
      <c r="AD4" s="88">
        <f>S4</f>
        <v>3854</v>
      </c>
    </row>
    <row r="5" spans="1:30" ht="63.75" customHeight="1">
      <c r="A5" s="60" t="s">
        <v>143</v>
      </c>
      <c r="B5" s="68" t="s">
        <v>144</v>
      </c>
      <c r="C5" s="61" t="s">
        <v>145</v>
      </c>
      <c r="D5" s="61"/>
      <c r="E5" s="62" t="s">
        <v>146</v>
      </c>
      <c r="F5" s="62" t="s">
        <v>147</v>
      </c>
      <c r="G5" s="61"/>
      <c r="H5" s="62"/>
      <c r="I5" s="69">
        <v>45491</v>
      </c>
      <c r="J5" s="38" t="s">
        <v>123</v>
      </c>
      <c r="K5" s="62">
        <v>5291.96</v>
      </c>
      <c r="L5" s="62"/>
      <c r="N5" s="62" t="s">
        <v>148</v>
      </c>
      <c r="O5" s="62"/>
      <c r="P5" s="62"/>
      <c r="Q5" s="62" t="s">
        <v>149</v>
      </c>
      <c r="R5" s="63"/>
      <c r="S5" s="48">
        <v>3000</v>
      </c>
      <c r="T5" s="62"/>
      <c r="U5" s="2" t="s">
        <v>141</v>
      </c>
      <c r="V5" s="61"/>
      <c r="W5" s="62"/>
      <c r="X5" s="62" t="s">
        <v>150</v>
      </c>
      <c r="Y5" s="62"/>
      <c r="Z5" s="62"/>
      <c r="AA5" s="62"/>
      <c r="AB5" s="62"/>
      <c r="AC5" s="86" t="s">
        <v>143</v>
      </c>
      <c r="AD5" s="88">
        <f>S5</f>
        <v>3000</v>
      </c>
    </row>
    <row r="6" spans="1:30" ht="101.25" customHeight="1">
      <c r="A6" s="51" t="s">
        <v>151</v>
      </c>
      <c r="B6" s="53" t="s">
        <v>152</v>
      </c>
      <c r="C6" s="2" t="s">
        <v>153</v>
      </c>
      <c r="D6" s="2" t="s">
        <v>154</v>
      </c>
      <c r="E6" s="62" t="s">
        <v>155</v>
      </c>
      <c r="F6" s="70" t="s">
        <v>156</v>
      </c>
      <c r="G6" s="35"/>
      <c r="H6" s="34"/>
      <c r="I6" s="37"/>
      <c r="J6" s="38" t="s">
        <v>123</v>
      </c>
      <c r="K6" s="39">
        <v>41600</v>
      </c>
      <c r="L6" s="40"/>
      <c r="M6" s="20">
        <f>K6*L6</f>
        <v>0</v>
      </c>
      <c r="N6" s="42" t="s">
        <v>157</v>
      </c>
      <c r="O6" s="32"/>
      <c r="P6" s="2" t="s">
        <v>154</v>
      </c>
      <c r="Q6" s="2" t="s">
        <v>158</v>
      </c>
      <c r="R6" s="2"/>
      <c r="S6" s="48">
        <v>41600</v>
      </c>
      <c r="T6" s="2" t="s">
        <v>154</v>
      </c>
      <c r="U6" s="2" t="s">
        <v>141</v>
      </c>
      <c r="V6" s="32" t="s">
        <v>154</v>
      </c>
      <c r="W6" s="32" t="s">
        <v>154</v>
      </c>
      <c r="X6" s="2" t="s">
        <v>150</v>
      </c>
      <c r="Y6" s="2" t="s">
        <v>154</v>
      </c>
      <c r="Z6" s="2" t="s">
        <v>154</v>
      </c>
      <c r="AA6" s="2" t="s">
        <v>154</v>
      </c>
      <c r="AB6" s="31"/>
      <c r="AC6" s="112" t="str">
        <f>A6</f>
        <v>C3</v>
      </c>
      <c r="AD6" s="117">
        <f>SUM(S6:S10)</f>
        <v>52902</v>
      </c>
    </row>
    <row r="7" spans="1:30" ht="101.25" customHeight="1">
      <c r="A7" s="52"/>
      <c r="B7" s="54"/>
      <c r="C7" s="2" t="s">
        <v>159</v>
      </c>
      <c r="D7" s="2" t="s">
        <v>154</v>
      </c>
      <c r="E7" s="62" t="s">
        <v>160</v>
      </c>
      <c r="F7" s="70" t="s">
        <v>161</v>
      </c>
      <c r="G7" s="35"/>
      <c r="H7" s="34"/>
      <c r="I7" s="37"/>
      <c r="J7" s="38" t="s">
        <v>162</v>
      </c>
      <c r="K7" s="39">
        <v>4500</v>
      </c>
      <c r="L7" s="40">
        <v>1.0982000000000001</v>
      </c>
      <c r="M7" s="49">
        <v>4942</v>
      </c>
      <c r="N7" s="42" t="s">
        <v>163</v>
      </c>
      <c r="O7" s="32"/>
      <c r="P7" s="2" t="s">
        <v>154</v>
      </c>
      <c r="Q7" s="2" t="s">
        <v>158</v>
      </c>
      <c r="R7" s="36"/>
      <c r="S7" s="48">
        <v>4942</v>
      </c>
      <c r="T7" s="2" t="s">
        <v>154</v>
      </c>
      <c r="U7" s="2" t="s">
        <v>141</v>
      </c>
      <c r="V7" s="32" t="s">
        <v>154</v>
      </c>
      <c r="W7" s="32" t="s">
        <v>154</v>
      </c>
      <c r="X7" s="2" t="s">
        <v>21</v>
      </c>
      <c r="Y7" s="2" t="s">
        <v>154</v>
      </c>
      <c r="Z7" s="2" t="s">
        <v>154</v>
      </c>
      <c r="AA7" s="2" t="s">
        <v>154</v>
      </c>
      <c r="AB7" s="31" t="s">
        <v>142</v>
      </c>
      <c r="AC7" s="113"/>
      <c r="AD7" s="118"/>
    </row>
    <row r="8" spans="1:30" ht="101.25" customHeight="1">
      <c r="A8" s="52"/>
      <c r="B8" s="54"/>
      <c r="C8" s="2" t="s">
        <v>164</v>
      </c>
      <c r="D8" s="2" t="s">
        <v>154</v>
      </c>
      <c r="E8" s="62" t="s">
        <v>165</v>
      </c>
      <c r="F8" s="35" t="s">
        <v>166</v>
      </c>
      <c r="G8" s="35"/>
      <c r="H8" s="34"/>
      <c r="I8" s="37"/>
      <c r="J8" s="38" t="s">
        <v>162</v>
      </c>
      <c r="K8" s="39">
        <v>2700</v>
      </c>
      <c r="L8" s="40">
        <v>1.0739000000000001</v>
      </c>
      <c r="M8" s="49">
        <v>2900</v>
      </c>
      <c r="N8" s="42">
        <v>45491</v>
      </c>
      <c r="O8" s="32"/>
      <c r="P8" s="2" t="s">
        <v>154</v>
      </c>
      <c r="Q8" s="2" t="s">
        <v>158</v>
      </c>
      <c r="R8" s="36"/>
      <c r="S8" s="48">
        <v>2900</v>
      </c>
      <c r="T8" s="2" t="s">
        <v>154</v>
      </c>
      <c r="U8" s="2" t="s">
        <v>141</v>
      </c>
      <c r="V8" s="32" t="s">
        <v>154</v>
      </c>
      <c r="W8" s="32" t="s">
        <v>154</v>
      </c>
      <c r="X8" s="2" t="s">
        <v>21</v>
      </c>
      <c r="Y8" s="2" t="s">
        <v>154</v>
      </c>
      <c r="Z8" s="2" t="s">
        <v>154</v>
      </c>
      <c r="AA8" s="2" t="s">
        <v>154</v>
      </c>
      <c r="AB8" s="31" t="s">
        <v>142</v>
      </c>
      <c r="AC8" s="113"/>
      <c r="AD8" s="118"/>
    </row>
    <row r="9" spans="1:30" ht="101.25" customHeight="1">
      <c r="A9" s="52"/>
      <c r="B9" s="54"/>
      <c r="C9" s="2" t="s">
        <v>167</v>
      </c>
      <c r="D9" s="2" t="s">
        <v>154</v>
      </c>
      <c r="E9" s="62" t="s">
        <v>165</v>
      </c>
      <c r="F9" s="35" t="s">
        <v>166</v>
      </c>
      <c r="G9" s="35"/>
      <c r="H9" s="34"/>
      <c r="I9" s="37"/>
      <c r="J9" s="38" t="s">
        <v>162</v>
      </c>
      <c r="K9" s="39">
        <v>2700</v>
      </c>
      <c r="L9" s="40">
        <v>1.0982000000000001</v>
      </c>
      <c r="M9" s="49">
        <v>2965</v>
      </c>
      <c r="N9" s="42">
        <v>45544</v>
      </c>
      <c r="O9" s="32"/>
      <c r="P9" s="2" t="s">
        <v>154</v>
      </c>
      <c r="Q9" s="2" t="s">
        <v>158</v>
      </c>
      <c r="R9" s="36"/>
      <c r="S9" s="48">
        <v>2965</v>
      </c>
      <c r="T9" s="2" t="s">
        <v>154</v>
      </c>
      <c r="U9" s="2" t="s">
        <v>141</v>
      </c>
      <c r="V9" s="32" t="s">
        <v>154</v>
      </c>
      <c r="W9" s="32" t="s">
        <v>154</v>
      </c>
      <c r="X9" s="2" t="s">
        <v>21</v>
      </c>
      <c r="Y9" s="2" t="s">
        <v>154</v>
      </c>
      <c r="Z9" s="2" t="s">
        <v>154</v>
      </c>
      <c r="AA9" s="2" t="s">
        <v>154</v>
      </c>
      <c r="AB9" s="31" t="s">
        <v>142</v>
      </c>
      <c r="AC9" s="113"/>
      <c r="AD9" s="118"/>
    </row>
    <row r="10" spans="1:30" ht="101.25" customHeight="1">
      <c r="A10" s="52"/>
      <c r="B10" s="54"/>
      <c r="C10" s="2" t="s">
        <v>168</v>
      </c>
      <c r="D10" s="2" t="s">
        <v>154</v>
      </c>
      <c r="E10" s="62" t="s">
        <v>169</v>
      </c>
      <c r="F10" s="35" t="s">
        <v>170</v>
      </c>
      <c r="G10" s="35"/>
      <c r="H10" s="34"/>
      <c r="I10" s="37"/>
      <c r="J10" s="38" t="s">
        <v>138</v>
      </c>
      <c r="K10" s="39">
        <v>718.32</v>
      </c>
      <c r="L10" s="40">
        <v>7.9669800000000004</v>
      </c>
      <c r="M10" s="49">
        <v>5722.84</v>
      </c>
      <c r="N10" s="42" t="s">
        <v>171</v>
      </c>
      <c r="O10" s="32"/>
      <c r="P10" s="2" t="s">
        <v>154</v>
      </c>
      <c r="Q10" s="2" t="s">
        <v>158</v>
      </c>
      <c r="R10" s="36"/>
      <c r="S10" s="48">
        <v>495</v>
      </c>
      <c r="T10" s="2" t="s">
        <v>154</v>
      </c>
      <c r="U10" s="2" t="s">
        <v>141</v>
      </c>
      <c r="V10" s="32" t="s">
        <v>154</v>
      </c>
      <c r="W10" s="32" t="s">
        <v>154</v>
      </c>
      <c r="X10" s="2" t="s">
        <v>21</v>
      </c>
      <c r="Y10" s="2" t="s">
        <v>154</v>
      </c>
      <c r="Z10" s="2" t="s">
        <v>154</v>
      </c>
      <c r="AA10" s="2" t="s">
        <v>154</v>
      </c>
      <c r="AB10" s="31" t="s">
        <v>142</v>
      </c>
      <c r="AC10" s="113"/>
      <c r="AD10" s="118"/>
    </row>
    <row r="11" spans="1:30">
      <c r="A11" s="3" t="s">
        <v>172</v>
      </c>
      <c r="B11" s="71" t="s">
        <v>173</v>
      </c>
      <c r="C11" s="2" t="s">
        <v>174</v>
      </c>
      <c r="D11" s="2" t="s">
        <v>154</v>
      </c>
      <c r="E11" s="30" t="s">
        <v>175</v>
      </c>
      <c r="F11" s="26" t="s">
        <v>176</v>
      </c>
      <c r="G11" s="35"/>
      <c r="H11" s="34"/>
      <c r="I11" s="37"/>
      <c r="J11" s="3" t="s">
        <v>177</v>
      </c>
      <c r="K11" s="28">
        <v>12000</v>
      </c>
      <c r="L11" s="41">
        <v>1</v>
      </c>
      <c r="M11" s="20">
        <f>K11*L11</f>
        <v>12000</v>
      </c>
      <c r="N11" s="43">
        <v>45544</v>
      </c>
      <c r="O11" s="2"/>
      <c r="P11" s="2" t="s">
        <v>154</v>
      </c>
      <c r="Q11" s="2" t="s">
        <v>140</v>
      </c>
      <c r="R11" s="2">
        <v>1</v>
      </c>
      <c r="S11" s="48">
        <f>M11*R11</f>
        <v>12000</v>
      </c>
      <c r="T11" s="2" t="s">
        <v>154</v>
      </c>
      <c r="U11" s="2" t="s">
        <v>141</v>
      </c>
      <c r="V11" s="2" t="s">
        <v>154</v>
      </c>
      <c r="W11" s="2" t="s">
        <v>154</v>
      </c>
      <c r="X11" s="2" t="s">
        <v>120</v>
      </c>
      <c r="Y11" s="2" t="s">
        <v>154</v>
      </c>
      <c r="Z11" s="2" t="s">
        <v>154</v>
      </c>
      <c r="AA11" s="2" t="s">
        <v>154</v>
      </c>
      <c r="AB11" s="2" t="s">
        <v>154</v>
      </c>
      <c r="AC11" s="47" t="str">
        <f>A11</f>
        <v>C4</v>
      </c>
      <c r="AD11" s="88">
        <f>S11</f>
        <v>12000</v>
      </c>
    </row>
    <row r="12" spans="1:30" ht="18.5">
      <c r="AC12" s="10" t="s">
        <v>90</v>
      </c>
      <c r="AD12" s="87">
        <f>SUM(AD4:AD11)</f>
        <v>71756</v>
      </c>
    </row>
    <row r="14" spans="1:30">
      <c r="AD14" s="44"/>
    </row>
  </sheetData>
  <autoFilter ref="A1:AD11" xr:uid="{00000000-0009-0000-0000-000002000000}"/>
  <mergeCells count="2">
    <mergeCell ref="AC6:AC10"/>
    <mergeCell ref="AD6:AD10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33" orientation="landscape" cellComments="asDisplayed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AC14696B9334B8107905EF8DA8D2B" ma:contentTypeVersion="17" ma:contentTypeDescription="Create a new document." ma:contentTypeScope="" ma:versionID="f14dc457a3a52cbedb6971b95db0e912">
  <xsd:schema xmlns:xsd="http://www.w3.org/2001/XMLSchema" xmlns:xs="http://www.w3.org/2001/XMLSchema" xmlns:p="http://schemas.microsoft.com/office/2006/metadata/properties" xmlns:ns2="19187dac-df12-4571-8d4c-1f93d22bc1fc" xmlns:ns3="5a7eadf7-2b1c-4a5a-97a9-adafd1c04f06" targetNamespace="http://schemas.microsoft.com/office/2006/metadata/properties" ma:root="true" ma:fieldsID="48ab5d3334d14a6e5f30fbc404b13d53" ns2:_="" ns3:_="">
    <xsd:import namespace="19187dac-df12-4571-8d4c-1f93d22bc1fc"/>
    <xsd:import namespace="5a7eadf7-2b1c-4a5a-97a9-adafd1c04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Test_o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87dac-df12-4571-8d4c-1f93d22bc1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_option" ma:index="23" nillable="true" ma:displayName="MigrateToMediaLibrary" ma:format="RadioButtons" ma:internalName="Test_option">
      <xsd:simpleType>
        <xsd:restriction base="dms:Choice">
          <xsd:enumeration value="Yes"/>
          <xsd:enumeration value="No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eadf7-2b1c-4a5a-97a9-adafd1c04f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cfd4bd6-b3ca-458a-bb10-6406bf24d382}" ma:internalName="TaxCatchAll" ma:showField="CatchAllData" ma:web="5a7eadf7-2b1c-4a5a-97a9-adafd1c04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7eadf7-2b1c-4a5a-97a9-adafd1c04f06" xsi:nil="true"/>
    <Test_option xmlns="19187dac-df12-4571-8d4c-1f93d22bc1fc" xsi:nil="true"/>
    <lcf76f155ced4ddcb4097134ff3c332f xmlns="19187dac-df12-4571-8d4c-1f93d22bc1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A976D0-1E91-4ED1-9147-D5CF9B3256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E51DDC-EF5C-423D-A238-E98EDB964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87dac-df12-4571-8d4c-1f93d22bc1fc"/>
    <ds:schemaRef ds:uri="5a7eadf7-2b1c-4a5a-97a9-adafd1c04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B0A8C6-4D34-4252-9400-428982964AE1}">
  <ds:schemaRefs>
    <ds:schemaRef ds:uri="http://schemas.microsoft.com/office/2006/metadata/properties"/>
    <ds:schemaRef ds:uri="http://schemas.microsoft.com/office/infopath/2007/PartnerControls"/>
    <ds:schemaRef ds:uri="5a7eadf7-2b1c-4a5a-97a9-adafd1c04f06"/>
    <ds:schemaRef ds:uri="19187dac-df12-4571-8d4c-1f93d22bc1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Manpower </vt:lpstr>
      <vt:lpstr>B - Equipment </vt:lpstr>
      <vt:lpstr>C - Other Direct Costs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ktouser</dc:creator>
  <cp:keywords/>
  <dc:description/>
  <cp:lastModifiedBy>Jervin NG</cp:lastModifiedBy>
  <cp:revision/>
  <dcterms:created xsi:type="dcterms:W3CDTF">2017-09-14T06:47:55Z</dcterms:created>
  <dcterms:modified xsi:type="dcterms:W3CDTF">2025-05-27T04:05:32Z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0x010100570AC14696B9334B8107905EF8DA8D2B</vt:lpwstr>
  </property>
  <property fmtid="{D5CDD505-2E9C-101B-9397-08002B2CF9AE}" pid="3" name="MediaServiceImageTags">
    <vt:lpwstr/>
  </property>
</Properties>
</file>